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BPUN\fonds_SNG\"/>
    </mc:Choice>
  </mc:AlternateContent>
  <xr:revisionPtr revIDLastSave="0" documentId="13_ncr:1_{E2AC98C0-9B53-4B71-9BB5-34938DF866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nds_sng_bpun" sheetId="1" r:id="rId1"/>
  </sheets>
  <definedNames>
    <definedName name="_ftn1" localSheetId="0">fonds_sng_bpun!#REF!</definedName>
    <definedName name="_ftnref1" localSheetId="0">fonds_sng_bpun!#REF!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</calcChain>
</file>

<file path=xl/sharedStrings.xml><?xml version="1.0" encoding="utf-8"?>
<sst xmlns="http://schemas.openxmlformats.org/spreadsheetml/2006/main" count="728" uniqueCount="352">
  <si>
    <t>Photographies</t>
  </si>
  <si>
    <t>type</t>
  </si>
  <si>
    <t>volume_photographie</t>
  </si>
  <si>
    <t>nom_dossier</t>
  </si>
  <si>
    <t>Métisses et paysage d'Amérique du Sud</t>
  </si>
  <si>
    <t>108SNG-3</t>
  </si>
  <si>
    <t>San Lorenzo</t>
  </si>
  <si>
    <t>Cartago</t>
  </si>
  <si>
    <t>Jackson James</t>
  </si>
  <si>
    <t>nom_article</t>
  </si>
  <si>
    <t>cote_article</t>
  </si>
  <si>
    <t>Alpes-Maritimes</t>
  </si>
  <si>
    <t>108SNG-2.1</t>
  </si>
  <si>
    <t>region</t>
  </si>
  <si>
    <t xml:space="preserve"> pays</t>
  </si>
  <si>
    <t>Argentine</t>
  </si>
  <si>
    <t>France</t>
  </si>
  <si>
    <t>108SNG-2.2</t>
  </si>
  <si>
    <t>108SNG-2.3</t>
  </si>
  <si>
    <t>108SNG-2.4</t>
  </si>
  <si>
    <t>108SNG-2.5</t>
  </si>
  <si>
    <t>108SNG-2.6</t>
  </si>
  <si>
    <t>108SNG-2.7</t>
  </si>
  <si>
    <t>108SNG-2.8</t>
  </si>
  <si>
    <t>108SNG-2.9</t>
  </si>
  <si>
    <t>108SNG-2.10</t>
  </si>
  <si>
    <t>108SNG-2.11</t>
  </si>
  <si>
    <t>108SNG-2.12</t>
  </si>
  <si>
    <t>108SNG-2.13</t>
  </si>
  <si>
    <t>108SNG-2.14</t>
  </si>
  <si>
    <t>108SNG-2.15</t>
  </si>
  <si>
    <t>108SNG-2.16</t>
  </si>
  <si>
    <t>108SNG-2.17</t>
  </si>
  <si>
    <t>108SNG-2.18</t>
  </si>
  <si>
    <t>108SNG-2.19</t>
  </si>
  <si>
    <t>108SNG-2.20</t>
  </si>
  <si>
    <t>108SNG-2.21</t>
  </si>
  <si>
    <t>108SNG-2.22</t>
  </si>
  <si>
    <t>108SNG-2.23</t>
  </si>
  <si>
    <t>108SNG-2.24</t>
  </si>
  <si>
    <t>108SNG-2.25</t>
  </si>
  <si>
    <t>108SNG-2.26</t>
  </si>
  <si>
    <t>108SNG-2.27</t>
  </si>
  <si>
    <t>Eure-et-Loir</t>
  </si>
  <si>
    <t>Ardèche</t>
  </si>
  <si>
    <t>Haute-Savoie</t>
  </si>
  <si>
    <t>Alpes-de-Haute-Provenc</t>
  </si>
  <si>
    <t>Basses-Alpes (Alpes-de-Haute-Provence)</t>
  </si>
  <si>
    <t>Basses-Pyrénées (Pyrénées-Atlantique)</t>
  </si>
  <si>
    <t>Pyrénées-Atlantique</t>
  </si>
  <si>
    <t>Tarn</t>
  </si>
  <si>
    <t>Bouches-du-Rhône</t>
  </si>
  <si>
    <t>Doubs</t>
  </si>
  <si>
    <t>Alsace</t>
  </si>
  <si>
    <t>Aveyron</t>
  </si>
  <si>
    <t>Gironde</t>
  </si>
  <si>
    <t>Haute-Loire</t>
  </si>
  <si>
    <t>Hautes-Pyrénées</t>
  </si>
  <si>
    <t>Paris</t>
  </si>
  <si>
    <t>Seine-et-Marne</t>
  </si>
  <si>
    <t>Seine-et-Oise</t>
  </si>
  <si>
    <t>Loire</t>
  </si>
  <si>
    <t>Lozère</t>
  </si>
  <si>
    <t>Monaco</t>
  </si>
  <si>
    <t>Oise</t>
  </si>
  <si>
    <t>Puy-de-Dôme</t>
  </si>
  <si>
    <t>Var</t>
  </si>
  <si>
    <t>Espagne</t>
  </si>
  <si>
    <t>Italie</t>
  </si>
  <si>
    <t>Suisse</t>
  </si>
  <si>
    <t>Portugal</t>
  </si>
  <si>
    <t>Jacottet E.</t>
  </si>
  <si>
    <t>Bonaparte, Prince Roland</t>
  </si>
  <si>
    <t>108SNG-4.1</t>
  </si>
  <si>
    <t>108SNG-4.2</t>
  </si>
  <si>
    <t>108SNG-4.3</t>
  </si>
  <si>
    <t>108SNG-4.4</t>
  </si>
  <si>
    <t>108SNG-4.5</t>
  </si>
  <si>
    <t>108SNG-4.6</t>
  </si>
  <si>
    <t>108SNG-4.7</t>
  </si>
  <si>
    <t>108SNG-4.8</t>
  </si>
  <si>
    <t>108SNG-4.9</t>
  </si>
  <si>
    <t>108SNG-4.10</t>
  </si>
  <si>
    <t>Australie</t>
  </si>
  <si>
    <t>Kalmouks</t>
  </si>
  <si>
    <t>Australiens</t>
  </si>
  <si>
    <t>Russie</t>
  </si>
  <si>
    <t>Surinam</t>
  </si>
  <si>
    <t>Botswana</t>
  </si>
  <si>
    <t>Dahoméens</t>
  </si>
  <si>
    <t>Bénin</t>
  </si>
  <si>
    <t>Hindous</t>
  </si>
  <si>
    <t>Inde</t>
  </si>
  <si>
    <t>Hottentots</t>
  </si>
  <si>
    <t>Lapons</t>
  </si>
  <si>
    <t>Afrique australe</t>
  </si>
  <si>
    <t>Europe du Nord</t>
  </si>
  <si>
    <t>Néo-Calédoniens</t>
  </si>
  <si>
    <t>Nouvelle-Calédonie</t>
  </si>
  <si>
    <t>Peaux-rouges</t>
  </si>
  <si>
    <t>Amérique du Nord</t>
  </si>
  <si>
    <t>Hegnauer</t>
  </si>
  <si>
    <t>108SNG-5</t>
  </si>
  <si>
    <t>Japon</t>
  </si>
  <si>
    <t>Humbert Aimé</t>
  </si>
  <si>
    <t>108SNG-6</t>
  </si>
  <si>
    <t>108SNG-7</t>
  </si>
  <si>
    <t>Géorgie</t>
  </si>
  <si>
    <t>108SNG-8</t>
  </si>
  <si>
    <t>Godet Ernest</t>
  </si>
  <si>
    <t>Pérou</t>
  </si>
  <si>
    <t>108SNG-9</t>
  </si>
  <si>
    <t>Guyot [Mme]</t>
  </si>
  <si>
    <t>Rosat Jacques</t>
  </si>
  <si>
    <t>Sandoz Ernest</t>
  </si>
  <si>
    <t>108SNG-13</t>
  </si>
  <si>
    <t>Ackermann A.</t>
  </si>
  <si>
    <t>108SNG-14</t>
  </si>
  <si>
    <t>Afrique</t>
  </si>
  <si>
    <t>108SNG-15</t>
  </si>
  <si>
    <t>108SNG-16</t>
  </si>
  <si>
    <t>108SNG-17</t>
  </si>
  <si>
    <t>108SNG-18</t>
  </si>
  <si>
    <t>Schneider Gustave</t>
  </si>
  <si>
    <t>108SNG-19</t>
  </si>
  <si>
    <t>Vuichard Raymond</t>
  </si>
  <si>
    <t>108SNG-20</t>
  </si>
  <si>
    <t>Zobrist Th.</t>
  </si>
  <si>
    <t>Moser Henri</t>
  </si>
  <si>
    <t>108SNG-22</t>
  </si>
  <si>
    <t>Athanasiadis Athos</t>
  </si>
  <si>
    <t>108SNG-23</t>
  </si>
  <si>
    <t>108SNG-26</t>
  </si>
  <si>
    <t>Fornaro Alexandre</t>
  </si>
  <si>
    <t>108SNG-27</t>
  </si>
  <si>
    <t>Gacon Virgile</t>
  </si>
  <si>
    <t>108SNG-28</t>
  </si>
  <si>
    <t>Gintzburger</t>
  </si>
  <si>
    <t>108SNG-29</t>
  </si>
  <si>
    <t>Hugenin Oscar</t>
  </si>
  <si>
    <t>108SNG-30</t>
  </si>
  <si>
    <t>108SNG-31</t>
  </si>
  <si>
    <t>108SNG-32</t>
  </si>
  <si>
    <t>108SNG-33</t>
  </si>
  <si>
    <t>Tripet Maurice</t>
  </si>
  <si>
    <t>108SNG-34</t>
  </si>
  <si>
    <t>Zimmermann M.</t>
  </si>
  <si>
    <t>108SNG-35</t>
  </si>
  <si>
    <t>Annam</t>
  </si>
  <si>
    <t>108SNG-36</t>
  </si>
  <si>
    <t>108SNG-37</t>
  </si>
  <si>
    <t>108SNG-38</t>
  </si>
  <si>
    <t>108SNG-39</t>
  </si>
  <si>
    <t>Paraguay</t>
  </si>
  <si>
    <t>108SNG-40</t>
  </si>
  <si>
    <t>108SNG-41</t>
  </si>
  <si>
    <t>108SNG-42</t>
  </si>
  <si>
    <t>Berthoud Adolphe</t>
  </si>
  <si>
    <t>108SNG-43</t>
  </si>
  <si>
    <t>Groneman J.</t>
  </si>
  <si>
    <t>108SNG-44</t>
  </si>
  <si>
    <t>108SNG-45</t>
  </si>
  <si>
    <t>Lavoyer Marc</t>
  </si>
  <si>
    <t>108SNG-46</t>
  </si>
  <si>
    <t>Liengme Georges</t>
  </si>
  <si>
    <t>108SNG-47</t>
  </si>
  <si>
    <t>Machon Dr.</t>
  </si>
  <si>
    <t>108SNG-48</t>
  </si>
  <si>
    <t>Terekoff</t>
  </si>
  <si>
    <t>108SNG-49</t>
  </si>
  <si>
    <t>108SNG-50</t>
  </si>
  <si>
    <t>Tartarie</t>
  </si>
  <si>
    <t>108SNG-51</t>
  </si>
  <si>
    <t>108SNG-52</t>
  </si>
  <si>
    <t>108SNG-53</t>
  </si>
  <si>
    <t>108SNG-54</t>
  </si>
  <si>
    <t>Beck-Bernardt</t>
  </si>
  <si>
    <t>108SNG-55</t>
  </si>
  <si>
    <t>108SNG-56</t>
  </si>
  <si>
    <t>Christol F.</t>
  </si>
  <si>
    <t>108SNG-57</t>
  </si>
  <si>
    <t>Delachaux H.</t>
  </si>
  <si>
    <t>108SNG-58</t>
  </si>
  <si>
    <t>108SNG-59</t>
  </si>
  <si>
    <t>Foley Nelson</t>
  </si>
  <si>
    <t>108SNG-60</t>
  </si>
  <si>
    <t>108SNG-61</t>
  </si>
  <si>
    <t>Monner Sans, R.</t>
  </si>
  <si>
    <t>108SNG-62</t>
  </si>
  <si>
    <t>Trilles P.H</t>
  </si>
  <si>
    <t>108SNG-63</t>
  </si>
  <si>
    <t>108SNG-64</t>
  </si>
  <si>
    <t>Mexique</t>
  </si>
  <si>
    <t>108SNG-65</t>
  </si>
  <si>
    <t>Pologne</t>
  </si>
  <si>
    <t>108SNG-66</t>
  </si>
  <si>
    <t>Eglise orthodoxe</t>
  </si>
  <si>
    <t>108SNG-67</t>
  </si>
  <si>
    <t>Chemins de fer</t>
  </si>
  <si>
    <t>108SNG-68</t>
  </si>
  <si>
    <t>108SNG-69</t>
  </si>
  <si>
    <t>108SNG-70</t>
  </si>
  <si>
    <t>108SNG-71</t>
  </si>
  <si>
    <t>dates</t>
  </si>
  <si>
    <t>1885-1931</t>
  </si>
  <si>
    <t>1885-1894</t>
  </si>
  <si>
    <t>1896-1897</t>
  </si>
  <si>
    <t>1894-1895</t>
  </si>
  <si>
    <t>1902-1902</t>
  </si>
  <si>
    <t>1869-1891</t>
  </si>
  <si>
    <t>1914-1918</t>
  </si>
  <si>
    <t>1877-1893</t>
  </si>
  <si>
    <t>1891-1895</t>
  </si>
  <si>
    <t>1882-1895</t>
  </si>
  <si>
    <t>1894-1897</t>
  </si>
  <si>
    <t>1898-1901</t>
  </si>
  <si>
    <t>1892-1893</t>
  </si>
  <si>
    <t>1889-1891</t>
  </si>
  <si>
    <t>1889-1901</t>
  </si>
  <si>
    <t>1886-1891</t>
  </si>
  <si>
    <t>1890-1890</t>
  </si>
  <si>
    <t>1882-1892</t>
  </si>
  <si>
    <t>1889-1890</t>
  </si>
  <si>
    <t>1891-1891</t>
  </si>
  <si>
    <t>1911-1912</t>
  </si>
  <si>
    <t>1895-1895</t>
  </si>
  <si>
    <t>1899-1906</t>
  </si>
  <si>
    <t>1889-1895</t>
  </si>
  <si>
    <t>1901-1901</t>
  </si>
  <si>
    <t>1878-1893</t>
  </si>
  <si>
    <t>1895-1918</t>
  </si>
  <si>
    <t>1889-1899</t>
  </si>
  <si>
    <t>1888-1889</t>
  </si>
  <si>
    <t>1894-1906</t>
  </si>
  <si>
    <t>1897-1897</t>
  </si>
  <si>
    <t>1872-1872</t>
  </si>
  <si>
    <t>1886-1887</t>
  </si>
  <si>
    <t>1905-1905</t>
  </si>
  <si>
    <t>Philippin Eugénie</t>
  </si>
  <si>
    <t>108SNG-10.1</t>
  </si>
  <si>
    <t>108SNG-10.2</t>
  </si>
  <si>
    <t>108SNG-10.3</t>
  </si>
  <si>
    <t>108SNG-10.4</t>
  </si>
  <si>
    <t>108SNG-10.5</t>
  </si>
  <si>
    <t>Costumes tchérémisses</t>
  </si>
  <si>
    <t>La réception du trousseau</t>
  </si>
  <si>
    <t>Crimée</t>
  </si>
  <si>
    <t>Panoramas de la Crimée</t>
  </si>
  <si>
    <t>Russes</t>
  </si>
  <si>
    <t>1888-1888</t>
  </si>
  <si>
    <t>Vues de Moscou</t>
  </si>
  <si>
    <t>108SNG-11.1</t>
  </si>
  <si>
    <t>108SNG-11.2</t>
  </si>
  <si>
    <t>Brésil</t>
  </si>
  <si>
    <t>1892-1895</t>
  </si>
  <si>
    <t>Uruguay</t>
  </si>
  <si>
    <t>108SNG-12.1</t>
  </si>
  <si>
    <t>108SNG-12.2</t>
  </si>
  <si>
    <t>Indiens des Etats-Unis</t>
  </si>
  <si>
    <t>USA</t>
  </si>
  <si>
    <t>Résidence du Président du Collège du New Jersey</t>
  </si>
  <si>
    <t>1890-1891</t>
  </si>
  <si>
    <t>Croatie</t>
  </si>
  <si>
    <t>Amérique du Sud, arbre, cascade, végétation</t>
  </si>
  <si>
    <t>Amérique du Sud</t>
  </si>
  <si>
    <t>Amérique du Nord, Amérique du Sud, Indiens, types</t>
  </si>
  <si>
    <t>Indonésie</t>
  </si>
  <si>
    <t>108SNG-21.1</t>
  </si>
  <si>
    <t>108SNG-21.2</t>
  </si>
  <si>
    <t>108SNG-21.3</t>
  </si>
  <si>
    <t>108SNG-21.4</t>
  </si>
  <si>
    <t>108SNG-21.5</t>
  </si>
  <si>
    <t>108SNG-21.6</t>
  </si>
  <si>
    <t>108SNG-21.7</t>
  </si>
  <si>
    <t>108SNG-21.8</t>
  </si>
  <si>
    <t>108SNG-21.9</t>
  </si>
  <si>
    <t>108SNG-21.10</t>
  </si>
  <si>
    <t>108SNG-21.11</t>
  </si>
  <si>
    <t>108SNG-21.12</t>
  </si>
  <si>
    <t>Bosnie-Herzégovine</t>
  </si>
  <si>
    <t>Boukhara</t>
  </si>
  <si>
    <t>Ouzbékistan</t>
  </si>
  <si>
    <t>Déplacements de Tchardjoui-Khiva, Khiva-Samarcande</t>
  </si>
  <si>
    <t>Diverses photographies de routes, caravanes, monument, personnes.</t>
  </si>
  <si>
    <t>Femmes Sarte</t>
  </si>
  <si>
    <t>Goudoursoun-Kal</t>
  </si>
  <si>
    <t>Khiva</t>
  </si>
  <si>
    <t>Oasis de Serafchan</t>
  </si>
  <si>
    <t>Objets</t>
  </si>
  <si>
    <t>Merv</t>
  </si>
  <si>
    <t>Turkménistan</t>
  </si>
  <si>
    <t>Samarcande</t>
  </si>
  <si>
    <t>Turcomans</t>
  </si>
  <si>
    <t>Turquie</t>
  </si>
  <si>
    <t>Egypte</t>
  </si>
  <si>
    <t>Beguin Eugène</t>
  </si>
  <si>
    <t>108SNG-24.1</t>
  </si>
  <si>
    <t>108SNG-24.2</t>
  </si>
  <si>
    <t>108SNG-24.3</t>
  </si>
  <si>
    <t>Egyptiens</t>
  </si>
  <si>
    <t>Hiéroglyphes égyptiens</t>
  </si>
  <si>
    <t>Personnes, villes, monuments et paysages égyptiens</t>
  </si>
  <si>
    <t>108SNG-25.1</t>
  </si>
  <si>
    <t>108SNG-25.2</t>
  </si>
  <si>
    <t>108SNG-25.3</t>
  </si>
  <si>
    <t>Favre Brandt Jämes</t>
  </si>
  <si>
    <t>Eruption du Bandaï San</t>
  </si>
  <si>
    <t>Japon </t>
  </si>
  <si>
    <t>Temple bouddhiste du Japon</t>
  </si>
  <si>
    <t>Photographies de S.Suzuki</t>
  </si>
  <si>
    <t>Canada</t>
  </si>
  <si>
    <t>Neuchâtel</t>
  </si>
  <si>
    <t>Ghana</t>
  </si>
  <si>
    <t>Prince Henri d'Orléans</t>
  </si>
  <si>
    <t>Tibet</t>
  </si>
  <si>
    <t>Royaume-Uni</t>
  </si>
  <si>
    <t>Gibraltar</t>
  </si>
  <si>
    <t>Grèce</t>
  </si>
  <si>
    <t>Mongolie </t>
  </si>
  <si>
    <t>Roumanie</t>
  </si>
  <si>
    <t>Mozambique</t>
  </si>
  <si>
    <t>Paraguay </t>
  </si>
  <si>
    <t>Mongolie</t>
  </si>
  <si>
    <t>Costa Rica</t>
  </si>
  <si>
    <t>Lesotho</t>
  </si>
  <si>
    <t>Madagascar </t>
  </si>
  <si>
    <t>Metchnikoff Léon</t>
  </si>
  <si>
    <t>Non identifiées</t>
  </si>
  <si>
    <t>108SNG-1.2</t>
  </si>
  <si>
    <t>108SNG-1.1</t>
  </si>
  <si>
    <t>Illiaroneff S.</t>
  </si>
  <si>
    <t>Bircher A. et/
ou Buchs V. et/ou
Thürler Louis</t>
  </si>
  <si>
    <t>Amérique du Sud,
arbre, cascade, 
végétation</t>
  </si>
  <si>
    <t>Amérique du Nord, 
Amérique du Sud, 
Indiens, types</t>
  </si>
  <si>
    <t>Madagascar-
Bétail- 
Végétation</t>
  </si>
  <si>
    <t>Ducommun Ch.
ou Raymond</t>
  </si>
  <si>
    <t>Biolley Paul ou
Pittier Henri</t>
  </si>
  <si>
    <t>Amérique du Sud, 
Asie, Indonésie</t>
  </si>
  <si>
    <t>Métisses et paysage
d'Amérique du Sud</t>
  </si>
  <si>
    <t>Dalamatie, bateaux,
port, Metrovic</t>
  </si>
  <si>
    <t>Ramseyer Fritz ou
Perregaux E.</t>
  </si>
  <si>
    <t>Musée historique,
Neuchâtel</t>
  </si>
  <si>
    <t>Suisse -
Pays de l'Est</t>
  </si>
  <si>
    <t>Amérique du Sud -
Pays de l'Est</t>
  </si>
  <si>
    <t>Jahrbuch des 
Siebenbürgischen
Karpathenvereins</t>
  </si>
  <si>
    <t>Don de l'école 
coloniale française
 à NE</t>
  </si>
  <si>
    <t>Lacs, 
paysages lacustres</t>
  </si>
  <si>
    <t>Objets 
ethnographiques</t>
  </si>
  <si>
    <t>Métiers du bois -
Indonésie</t>
  </si>
  <si>
    <t>Cyclone -
Indonésie</t>
  </si>
  <si>
    <t>geocoder_pays</t>
  </si>
  <si>
    <t>geocoder_region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</si>
</sst>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J129" totalsRowShown="0" headerRowDxfId="22" dataDxfId="21" totalsRowDxfId="20">
  <autoFilter ref="A1:J129" xr:uid="{8F53C7DE-5ACE-44B9-AFED-CFF386979C83}"/>
  <sortState xmlns:xlrd2="http://schemas.microsoft.com/office/spreadsheetml/2017/richdata2" ref="A2:J112">
    <sortCondition ref="J1:J112"/>
  </sortState>
  <tableColumns count="10">
    <tableColumn id="2" xr3:uid="{5A09F71E-52E5-47CC-A924-1FD5F8B6260C}" name="cote_article" dataDxfId="19" totalsRowDxfId="18"/>
    <tableColumn id="12" xr3:uid="{0CE0C2CC-865C-4FF5-B940-560966A8696F}" name="nom_dossier" dataDxfId="17" totalsRowDxfId="16"/>
    <tableColumn id="3" xr3:uid="{D526C078-8C65-47E8-A17D-13914FF1FDC7}" name="nom_article" dataDxfId="15" totalsRowDxfId="14"/>
    <tableColumn id="9" xr3:uid="{9E037ABF-8A41-473B-B371-DC11FD4F93D3}" name=" pays" dataDxfId="13" totalsRowDxfId="12"/>
    <tableColumn id="7" xr3:uid="{2711EB0A-5A58-4429-B474-5FC5F0548A2B}" name="geocoder_pays" dataDxfId="0" totalsRowDxfId="1"/>
    <tableColumn id="5" xr3:uid="{E965F5BB-10C8-4BFC-82A0-B8393D383659}" name="region" dataDxfId="11" totalsRowDxfId="10"/>
    <tableColumn id="1" xr3:uid="{500C5E7A-26E4-43E0-98EF-A46A8F9DBC3E}" name="geocoder_region" dataDxfId="2" totalsRowDxfId="3"/>
    <tableColumn id="6" xr3:uid="{2C51FEE4-9992-41DB-BFBC-6BCB98FE415C}" name="dates" dataDxfId="9" totalsRowDxfId="8"/>
    <tableColumn id="4" xr3:uid="{CC430E9A-C81E-4E26-9333-69D2A8783BCD}" name="type" dataDxfId="7" totalsRowDxfId="6"/>
    <tableColumn id="15" xr3:uid="{0ACB52F1-1F4D-4597-9FF9-2993E0907D88}" name="volume_photographie" dataDxfId="5" totalsRow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zoomScaleNormal="100" workbookViewId="0">
      <pane ySplit="1" topLeftCell="A2" activePane="bottomLeft" state="frozen"/>
      <selection activeCell="C1" sqref="C1"/>
      <selection pane="bottomLeft" activeCell="E93" sqref="E93"/>
    </sheetView>
  </sheetViews>
  <sheetFormatPr baseColWidth="10" defaultColWidth="11.42578125" defaultRowHeight="12" x14ac:dyDescent="0.2"/>
  <cols>
    <col min="1" max="1" width="14.85546875" style="2" customWidth="1"/>
    <col min="2" max="2" width="39.5703125" style="2" customWidth="1"/>
    <col min="3" max="3" width="32" style="2" customWidth="1"/>
    <col min="4" max="4" width="15.85546875" style="2" bestFit="1" customWidth="1"/>
    <col min="5" max="7" width="15.85546875" style="2" customWidth="1"/>
    <col min="8" max="8" width="15.85546875" style="1" customWidth="1"/>
    <col min="9" max="9" width="16.85546875" style="9" customWidth="1"/>
    <col min="10" max="10" width="23.28515625" style="1" customWidth="1"/>
    <col min="11" max="11" width="17.5703125" style="1" customWidth="1"/>
    <col min="12" max="12" width="11.140625"/>
    <col min="13" max="13" width="17.85546875" style="1" customWidth="1"/>
    <col min="14" max="16384" width="11.42578125" style="1"/>
  </cols>
  <sheetData>
    <row r="1" spans="1:12" ht="33.75" customHeight="1" x14ac:dyDescent="0.2">
      <c r="A1" s="3" t="s">
        <v>10</v>
      </c>
      <c r="B1" s="3" t="s">
        <v>3</v>
      </c>
      <c r="C1" s="3" t="s">
        <v>9</v>
      </c>
      <c r="D1" s="3" t="s">
        <v>14</v>
      </c>
      <c r="E1" s="3" t="s">
        <v>350</v>
      </c>
      <c r="F1" s="3" t="s">
        <v>13</v>
      </c>
      <c r="G1" s="3" t="s">
        <v>351</v>
      </c>
      <c r="H1" s="3" t="s">
        <v>203</v>
      </c>
      <c r="I1" s="3" t="s">
        <v>1</v>
      </c>
      <c r="J1" s="1" t="s">
        <v>2</v>
      </c>
      <c r="L1" s="1"/>
    </row>
    <row r="2" spans="1:12" ht="28.5" x14ac:dyDescent="0.25">
      <c r="A2" s="11" t="s">
        <v>329</v>
      </c>
      <c r="B2" s="15" t="s">
        <v>338</v>
      </c>
      <c r="C2" s="11" t="s">
        <v>4</v>
      </c>
      <c r="D2" s="12" t="s">
        <v>15</v>
      </c>
      <c r="E2" s="12"/>
      <c r="F2" s="10" t="s">
        <v>7</v>
      </c>
      <c r="G2" s="10"/>
      <c r="H2" s="13" t="s">
        <v>204</v>
      </c>
      <c r="I2" s="11" t="s">
        <v>0</v>
      </c>
      <c r="J2" s="3">
        <v>1</v>
      </c>
      <c r="L2" s="1"/>
    </row>
    <row r="3" spans="1:12" ht="28.5" x14ac:dyDescent="0.25">
      <c r="A3" s="11" t="s">
        <v>328</v>
      </c>
      <c r="B3" s="15" t="s">
        <v>338</v>
      </c>
      <c r="C3" s="11" t="s">
        <v>4</v>
      </c>
      <c r="D3" s="12" t="s">
        <v>15</v>
      </c>
      <c r="E3" s="12"/>
      <c r="F3" s="6" t="s">
        <v>6</v>
      </c>
      <c r="G3" s="6"/>
      <c r="H3" s="13" t="s">
        <v>204</v>
      </c>
      <c r="I3" s="11" t="s">
        <v>0</v>
      </c>
      <c r="J3" s="3">
        <v>2</v>
      </c>
      <c r="L3" s="1">
        <f>SUM(Tableau2[volume_photographie])</f>
        <v>1661</v>
      </c>
    </row>
    <row r="4" spans="1:12" ht="14.25" x14ac:dyDescent="0.25">
      <c r="A4" s="11" t="s">
        <v>12</v>
      </c>
      <c r="B4" s="11" t="s">
        <v>8</v>
      </c>
      <c r="C4" s="11" t="s">
        <v>11</v>
      </c>
      <c r="D4" s="12" t="s">
        <v>16</v>
      </c>
      <c r="E4" s="12"/>
      <c r="F4" s="11" t="s">
        <v>11</v>
      </c>
      <c r="G4" s="11"/>
      <c r="H4" s="13" t="s">
        <v>205</v>
      </c>
      <c r="I4" s="11" t="s">
        <v>0</v>
      </c>
      <c r="J4" s="8">
        <v>191</v>
      </c>
      <c r="L4" s="1">
        <f>SUM(J4:J30)</f>
        <v>555</v>
      </c>
    </row>
    <row r="5" spans="1:12" ht="14.25" x14ac:dyDescent="0.25">
      <c r="A5" s="11" t="s">
        <v>17</v>
      </c>
      <c r="B5" s="11" t="s">
        <v>8</v>
      </c>
      <c r="C5" s="7" t="s">
        <v>43</v>
      </c>
      <c r="D5" s="12" t="s">
        <v>16</v>
      </c>
      <c r="E5" s="12"/>
      <c r="F5" s="7" t="s">
        <v>43</v>
      </c>
      <c r="G5" s="7"/>
      <c r="H5" s="13" t="s">
        <v>205</v>
      </c>
      <c r="I5" s="11" t="s">
        <v>0</v>
      </c>
      <c r="J5" s="3">
        <v>4</v>
      </c>
      <c r="L5" s="1"/>
    </row>
    <row r="6" spans="1:12" ht="14.25" x14ac:dyDescent="0.25">
      <c r="A6" s="11" t="s">
        <v>18</v>
      </c>
      <c r="B6" s="11" t="s">
        <v>8</v>
      </c>
      <c r="C6" s="11" t="s">
        <v>44</v>
      </c>
      <c r="D6" s="12" t="s">
        <v>16</v>
      </c>
      <c r="E6" s="12"/>
      <c r="F6" s="11" t="s">
        <v>44</v>
      </c>
      <c r="G6" s="11"/>
      <c r="H6" s="13" t="s">
        <v>205</v>
      </c>
      <c r="I6" s="11" t="s">
        <v>0</v>
      </c>
      <c r="J6" s="8">
        <v>36</v>
      </c>
      <c r="L6" s="1"/>
    </row>
    <row r="7" spans="1:12" ht="14.25" x14ac:dyDescent="0.25">
      <c r="A7" s="11" t="s">
        <v>19</v>
      </c>
      <c r="B7" s="11" t="s">
        <v>8</v>
      </c>
      <c r="C7" s="11" t="s">
        <v>45</v>
      </c>
      <c r="D7" s="12" t="s">
        <v>16</v>
      </c>
      <c r="E7" s="12"/>
      <c r="F7" s="11" t="s">
        <v>45</v>
      </c>
      <c r="G7" s="11"/>
      <c r="H7" s="13" t="s">
        <v>205</v>
      </c>
      <c r="I7" s="11" t="s">
        <v>0</v>
      </c>
      <c r="J7" s="1">
        <v>1</v>
      </c>
      <c r="L7" s="1"/>
    </row>
    <row r="8" spans="1:12" ht="14.25" x14ac:dyDescent="0.25">
      <c r="A8" s="11" t="s">
        <v>20</v>
      </c>
      <c r="B8" s="11" t="s">
        <v>8</v>
      </c>
      <c r="C8" s="11" t="s">
        <v>47</v>
      </c>
      <c r="D8" s="12" t="s">
        <v>16</v>
      </c>
      <c r="E8" s="12"/>
      <c r="F8" s="11" t="s">
        <v>46</v>
      </c>
      <c r="G8" s="11"/>
      <c r="H8" s="13" t="s">
        <v>205</v>
      </c>
      <c r="I8" s="11" t="s">
        <v>0</v>
      </c>
      <c r="J8" s="3">
        <v>17</v>
      </c>
      <c r="L8" s="1"/>
    </row>
    <row r="9" spans="1:12" ht="14.25" x14ac:dyDescent="0.25">
      <c r="A9" s="11" t="s">
        <v>21</v>
      </c>
      <c r="B9" s="11" t="s">
        <v>8</v>
      </c>
      <c r="C9" s="11" t="s">
        <v>48</v>
      </c>
      <c r="D9" s="12" t="s">
        <v>16</v>
      </c>
      <c r="E9" s="12"/>
      <c r="F9" s="11" t="s">
        <v>49</v>
      </c>
      <c r="G9" s="11"/>
      <c r="H9" s="13" t="s">
        <v>205</v>
      </c>
      <c r="I9" s="11" t="s">
        <v>0</v>
      </c>
      <c r="J9" s="1">
        <v>15</v>
      </c>
      <c r="L9" s="1"/>
    </row>
    <row r="10" spans="1:12" ht="14.25" x14ac:dyDescent="0.25">
      <c r="A10" s="11" t="s">
        <v>22</v>
      </c>
      <c r="B10" s="11" t="s">
        <v>8</v>
      </c>
      <c r="C10" s="11" t="s">
        <v>50</v>
      </c>
      <c r="D10" s="12" t="s">
        <v>16</v>
      </c>
      <c r="E10" s="12"/>
      <c r="F10" s="11" t="s">
        <v>50</v>
      </c>
      <c r="G10" s="11"/>
      <c r="H10" s="13" t="s">
        <v>205</v>
      </c>
      <c r="I10" s="11" t="s">
        <v>0</v>
      </c>
      <c r="J10" s="1">
        <v>21</v>
      </c>
      <c r="L10" s="1"/>
    </row>
    <row r="11" spans="1:12" ht="14.25" x14ac:dyDescent="0.25">
      <c r="A11" s="11" t="s">
        <v>23</v>
      </c>
      <c r="B11" s="11" t="s">
        <v>8</v>
      </c>
      <c r="C11" s="11" t="s">
        <v>51</v>
      </c>
      <c r="D11" s="12" t="s">
        <v>16</v>
      </c>
      <c r="E11" s="12"/>
      <c r="F11" s="11" t="s">
        <v>51</v>
      </c>
      <c r="G11" s="11"/>
      <c r="H11" s="13" t="s">
        <v>205</v>
      </c>
      <c r="I11" s="11" t="s">
        <v>0</v>
      </c>
      <c r="J11" s="1">
        <v>10</v>
      </c>
      <c r="L11" s="1"/>
    </row>
    <row r="12" spans="1:12" ht="14.25" x14ac:dyDescent="0.25">
      <c r="A12" s="11" t="s">
        <v>24</v>
      </c>
      <c r="B12" s="11" t="s">
        <v>8</v>
      </c>
      <c r="C12" s="11" t="s">
        <v>52</v>
      </c>
      <c r="D12" s="12" t="s">
        <v>16</v>
      </c>
      <c r="E12" s="12"/>
      <c r="F12" s="11" t="s">
        <v>52</v>
      </c>
      <c r="G12" s="11"/>
      <c r="H12" s="13" t="s">
        <v>205</v>
      </c>
      <c r="I12" s="11" t="s">
        <v>0</v>
      </c>
      <c r="J12" s="3">
        <v>29</v>
      </c>
      <c r="L12" s="1"/>
    </row>
    <row r="13" spans="1:12" ht="14.25" x14ac:dyDescent="0.25">
      <c r="A13" s="11" t="s">
        <v>25</v>
      </c>
      <c r="B13" s="11" t="s">
        <v>8</v>
      </c>
      <c r="C13" s="11" t="s">
        <v>53</v>
      </c>
      <c r="D13" s="12" t="s">
        <v>16</v>
      </c>
      <c r="E13" s="12"/>
      <c r="F13" s="11" t="s">
        <v>53</v>
      </c>
      <c r="G13" s="11"/>
      <c r="H13" s="13" t="s">
        <v>205</v>
      </c>
      <c r="I13" s="11" t="s">
        <v>0</v>
      </c>
      <c r="J13" s="3">
        <v>1</v>
      </c>
      <c r="L13" s="1"/>
    </row>
    <row r="14" spans="1:12" ht="14.25" x14ac:dyDescent="0.25">
      <c r="A14" s="11" t="s">
        <v>26</v>
      </c>
      <c r="B14" s="11" t="s">
        <v>8</v>
      </c>
      <c r="C14" s="11" t="s">
        <v>54</v>
      </c>
      <c r="D14" s="12" t="s">
        <v>16</v>
      </c>
      <c r="E14" s="12"/>
      <c r="F14" s="11" t="s">
        <v>54</v>
      </c>
      <c r="G14" s="11"/>
      <c r="H14" s="13" t="s">
        <v>205</v>
      </c>
      <c r="I14" s="11" t="s">
        <v>0</v>
      </c>
      <c r="J14" s="3">
        <v>8</v>
      </c>
      <c r="L14" s="1"/>
    </row>
    <row r="15" spans="1:12" ht="14.25" x14ac:dyDescent="0.25">
      <c r="A15" s="11" t="s">
        <v>27</v>
      </c>
      <c r="B15" s="11" t="s">
        <v>8</v>
      </c>
      <c r="C15" s="11" t="s">
        <v>55</v>
      </c>
      <c r="D15" s="12" t="s">
        <v>16</v>
      </c>
      <c r="E15" s="12"/>
      <c r="F15" s="11" t="s">
        <v>55</v>
      </c>
      <c r="G15" s="11"/>
      <c r="H15" s="13" t="s">
        <v>205</v>
      </c>
      <c r="I15" s="11" t="s">
        <v>0</v>
      </c>
      <c r="J15" s="3">
        <v>1</v>
      </c>
      <c r="L15" s="1"/>
    </row>
    <row r="16" spans="1:12" ht="14.25" x14ac:dyDescent="0.25">
      <c r="A16" s="11" t="s">
        <v>28</v>
      </c>
      <c r="B16" s="11" t="s">
        <v>8</v>
      </c>
      <c r="C16" s="11" t="s">
        <v>56</v>
      </c>
      <c r="D16" s="12" t="s">
        <v>16</v>
      </c>
      <c r="E16" s="12"/>
      <c r="F16" s="11" t="s">
        <v>56</v>
      </c>
      <c r="G16" s="11"/>
      <c r="H16" s="13" t="s">
        <v>205</v>
      </c>
      <c r="I16" s="11" t="s">
        <v>0</v>
      </c>
      <c r="J16" s="3">
        <v>35</v>
      </c>
      <c r="L16" s="1"/>
    </row>
    <row r="17" spans="1:12" ht="14.25" x14ac:dyDescent="0.25">
      <c r="A17" s="11" t="s">
        <v>29</v>
      </c>
      <c r="B17" s="11" t="s">
        <v>8</v>
      </c>
      <c r="C17" s="11" t="s">
        <v>57</v>
      </c>
      <c r="D17" s="12" t="s">
        <v>16</v>
      </c>
      <c r="E17" s="12"/>
      <c r="F17" s="11" t="s">
        <v>57</v>
      </c>
      <c r="G17" s="11"/>
      <c r="H17" s="13" t="s">
        <v>205</v>
      </c>
      <c r="I17" s="11" t="s">
        <v>0</v>
      </c>
      <c r="J17" s="1">
        <v>2</v>
      </c>
      <c r="L17" s="1"/>
    </row>
    <row r="18" spans="1:12" ht="14.25" x14ac:dyDescent="0.25">
      <c r="A18" s="11" t="s">
        <v>30</v>
      </c>
      <c r="B18" s="11" t="s">
        <v>8</v>
      </c>
      <c r="C18" s="11" t="s">
        <v>58</v>
      </c>
      <c r="D18" s="12" t="s">
        <v>16</v>
      </c>
      <c r="E18" s="12"/>
      <c r="F18" s="11" t="s">
        <v>58</v>
      </c>
      <c r="G18" s="11"/>
      <c r="H18" s="13" t="s">
        <v>205</v>
      </c>
      <c r="I18" s="11" t="s">
        <v>0</v>
      </c>
      <c r="J18" s="3">
        <v>8</v>
      </c>
      <c r="L18" s="1"/>
    </row>
    <row r="19" spans="1:12" ht="14.25" x14ac:dyDescent="0.25">
      <c r="A19" s="11" t="s">
        <v>31</v>
      </c>
      <c r="B19" s="11" t="s">
        <v>8</v>
      </c>
      <c r="C19" s="11" t="s">
        <v>59</v>
      </c>
      <c r="D19" s="12" t="s">
        <v>16</v>
      </c>
      <c r="E19" s="12"/>
      <c r="F19" s="11" t="s">
        <v>59</v>
      </c>
      <c r="G19" s="11"/>
      <c r="H19" s="13" t="s">
        <v>205</v>
      </c>
      <c r="I19" s="11" t="s">
        <v>0</v>
      </c>
      <c r="J19" s="1">
        <v>1</v>
      </c>
      <c r="L19" s="1"/>
    </row>
    <row r="20" spans="1:12" ht="14.25" x14ac:dyDescent="0.25">
      <c r="A20" s="11" t="s">
        <v>32</v>
      </c>
      <c r="B20" s="11" t="s">
        <v>8</v>
      </c>
      <c r="C20" s="11" t="s">
        <v>60</v>
      </c>
      <c r="D20" s="12" t="s">
        <v>16</v>
      </c>
      <c r="E20" s="12"/>
      <c r="F20" s="11" t="s">
        <v>60</v>
      </c>
      <c r="G20" s="11"/>
      <c r="H20" s="13" t="s">
        <v>205</v>
      </c>
      <c r="I20" s="11" t="s">
        <v>0</v>
      </c>
      <c r="J20" s="8">
        <v>5</v>
      </c>
      <c r="L20" s="1"/>
    </row>
    <row r="21" spans="1:12" ht="14.25" x14ac:dyDescent="0.25">
      <c r="A21" s="11" t="s">
        <v>33</v>
      </c>
      <c r="B21" s="11" t="s">
        <v>8</v>
      </c>
      <c r="C21" s="11" t="s">
        <v>61</v>
      </c>
      <c r="D21" s="12" t="s">
        <v>16</v>
      </c>
      <c r="E21" s="12"/>
      <c r="F21" s="11" t="s">
        <v>61</v>
      </c>
      <c r="G21" s="11"/>
      <c r="H21" s="13" t="s">
        <v>205</v>
      </c>
      <c r="I21" s="11" t="s">
        <v>0</v>
      </c>
      <c r="J21" s="3">
        <v>15</v>
      </c>
      <c r="L21" s="1"/>
    </row>
    <row r="22" spans="1:12" ht="14.25" x14ac:dyDescent="0.25">
      <c r="A22" s="11" t="s">
        <v>34</v>
      </c>
      <c r="B22" s="11" t="s">
        <v>8</v>
      </c>
      <c r="C22" s="11" t="s">
        <v>62</v>
      </c>
      <c r="D22" s="12" t="s">
        <v>16</v>
      </c>
      <c r="E22" s="12"/>
      <c r="F22" s="11" t="s">
        <v>62</v>
      </c>
      <c r="G22" s="11"/>
      <c r="H22" s="13" t="s">
        <v>205</v>
      </c>
      <c r="I22" s="11" t="s">
        <v>0</v>
      </c>
      <c r="J22" s="1">
        <v>8</v>
      </c>
      <c r="L22" s="1"/>
    </row>
    <row r="23" spans="1:12" ht="14.25" x14ac:dyDescent="0.25">
      <c r="A23" s="11" t="s">
        <v>35</v>
      </c>
      <c r="B23" s="11" t="s">
        <v>8</v>
      </c>
      <c r="C23" s="11" t="s">
        <v>63</v>
      </c>
      <c r="D23" s="11" t="s">
        <v>63</v>
      </c>
      <c r="E23" s="11"/>
      <c r="F23" s="11" t="s">
        <v>63</v>
      </c>
      <c r="G23" s="11"/>
      <c r="H23" s="13" t="s">
        <v>205</v>
      </c>
      <c r="I23" s="11" t="s">
        <v>0</v>
      </c>
      <c r="J23" s="3">
        <v>4</v>
      </c>
      <c r="L23" s="1"/>
    </row>
    <row r="24" spans="1:12" ht="14.25" x14ac:dyDescent="0.25">
      <c r="A24" s="11" t="s">
        <v>36</v>
      </c>
      <c r="B24" s="11" t="s">
        <v>8</v>
      </c>
      <c r="C24" s="11" t="s">
        <v>64</v>
      </c>
      <c r="D24" s="12" t="s">
        <v>16</v>
      </c>
      <c r="E24" s="12"/>
      <c r="F24" s="11" t="s">
        <v>64</v>
      </c>
      <c r="G24" s="11"/>
      <c r="H24" s="13" t="s">
        <v>205</v>
      </c>
      <c r="I24" s="11" t="s">
        <v>0</v>
      </c>
      <c r="J24" s="3">
        <v>3</v>
      </c>
      <c r="L24" s="1"/>
    </row>
    <row r="25" spans="1:12" ht="14.25" x14ac:dyDescent="0.25">
      <c r="A25" s="11" t="s">
        <v>37</v>
      </c>
      <c r="B25" s="11" t="s">
        <v>8</v>
      </c>
      <c r="C25" s="11" t="s">
        <v>65</v>
      </c>
      <c r="D25" s="12" t="s">
        <v>16</v>
      </c>
      <c r="E25" s="12"/>
      <c r="F25" s="11" t="s">
        <v>65</v>
      </c>
      <c r="G25" s="11"/>
      <c r="H25" s="13" t="s">
        <v>205</v>
      </c>
      <c r="I25" s="11" t="s">
        <v>0</v>
      </c>
      <c r="J25" s="4">
        <v>13</v>
      </c>
      <c r="L25" s="1"/>
    </row>
    <row r="26" spans="1:12" ht="22.5" customHeight="1" x14ac:dyDescent="0.25">
      <c r="A26" s="11" t="s">
        <v>38</v>
      </c>
      <c r="B26" s="11" t="s">
        <v>8</v>
      </c>
      <c r="C26" s="11" t="s">
        <v>66</v>
      </c>
      <c r="D26" s="12" t="s">
        <v>16</v>
      </c>
      <c r="E26" s="12"/>
      <c r="F26" s="11" t="s">
        <v>66</v>
      </c>
      <c r="G26" s="11"/>
      <c r="H26" s="13" t="s">
        <v>205</v>
      </c>
      <c r="I26" s="11" t="s">
        <v>0</v>
      </c>
      <c r="J26" s="1">
        <v>49</v>
      </c>
      <c r="L26" s="1"/>
    </row>
    <row r="27" spans="1:12" ht="32.25" customHeight="1" x14ac:dyDescent="0.25">
      <c r="A27" s="11" t="s">
        <v>39</v>
      </c>
      <c r="B27" s="11" t="s">
        <v>8</v>
      </c>
      <c r="C27" s="11" t="s">
        <v>67</v>
      </c>
      <c r="D27" s="11" t="s">
        <v>67</v>
      </c>
      <c r="E27" s="11"/>
      <c r="F27" s="10"/>
      <c r="G27" s="10"/>
      <c r="H27" s="13" t="s">
        <v>205</v>
      </c>
      <c r="I27" s="11" t="s">
        <v>0</v>
      </c>
      <c r="J27" s="5">
        <v>22</v>
      </c>
      <c r="L27" s="1"/>
    </row>
    <row r="28" spans="1:12" ht="14.25" x14ac:dyDescent="0.25">
      <c r="A28" s="11" t="s">
        <v>40</v>
      </c>
      <c r="B28" s="11" t="s">
        <v>8</v>
      </c>
      <c r="C28" s="11" t="s">
        <v>68</v>
      </c>
      <c r="D28" s="11" t="s">
        <v>68</v>
      </c>
      <c r="E28" s="11"/>
      <c r="F28" s="10"/>
      <c r="G28" s="10"/>
      <c r="H28" s="13" t="s">
        <v>205</v>
      </c>
      <c r="I28" s="11" t="s">
        <v>0</v>
      </c>
      <c r="J28" s="3">
        <v>10</v>
      </c>
      <c r="L28" s="1"/>
    </row>
    <row r="29" spans="1:12" ht="14.25" x14ac:dyDescent="0.25">
      <c r="A29" s="11" t="s">
        <v>41</v>
      </c>
      <c r="B29" s="11" t="s">
        <v>8</v>
      </c>
      <c r="C29" s="11" t="s">
        <v>69</v>
      </c>
      <c r="D29" s="11" t="s">
        <v>69</v>
      </c>
      <c r="E29" s="11"/>
      <c r="F29" s="10"/>
      <c r="G29" s="10"/>
      <c r="H29" s="13" t="s">
        <v>205</v>
      </c>
      <c r="I29" s="11" t="s">
        <v>0</v>
      </c>
      <c r="J29" s="3">
        <v>19</v>
      </c>
      <c r="L29" s="1"/>
    </row>
    <row r="30" spans="1:12" ht="14.25" x14ac:dyDescent="0.25">
      <c r="A30" s="11" t="s">
        <v>42</v>
      </c>
      <c r="B30" s="11" t="s">
        <v>8</v>
      </c>
      <c r="C30" s="11" t="s">
        <v>70</v>
      </c>
      <c r="D30" s="11" t="s">
        <v>70</v>
      </c>
      <c r="E30" s="11"/>
      <c r="F30" s="10"/>
      <c r="G30" s="10"/>
      <c r="H30" s="13" t="s">
        <v>205</v>
      </c>
      <c r="I30" s="11" t="s">
        <v>0</v>
      </c>
      <c r="J30" s="1">
        <v>27</v>
      </c>
      <c r="L30" s="1"/>
    </row>
    <row r="31" spans="1:12" ht="14.25" x14ac:dyDescent="0.25">
      <c r="A31" s="11" t="s">
        <v>5</v>
      </c>
      <c r="B31" s="11" t="s">
        <v>71</v>
      </c>
      <c r="C31" s="10"/>
      <c r="D31" s="10"/>
      <c r="E31" s="10"/>
      <c r="F31" s="10"/>
      <c r="G31" s="10"/>
      <c r="H31" s="13" t="s">
        <v>206</v>
      </c>
      <c r="I31" s="11" t="s">
        <v>0</v>
      </c>
      <c r="J31" s="3">
        <v>1</v>
      </c>
      <c r="L31" s="1"/>
    </row>
    <row r="32" spans="1:12" ht="14.25" x14ac:dyDescent="0.25">
      <c r="A32" s="11" t="s">
        <v>73</v>
      </c>
      <c r="B32" s="11" t="s">
        <v>72</v>
      </c>
      <c r="C32" s="11" t="s">
        <v>85</v>
      </c>
      <c r="D32" s="10" t="s">
        <v>83</v>
      </c>
      <c r="E32" s="10"/>
      <c r="F32" s="10"/>
      <c r="G32" s="10"/>
      <c r="H32" s="13" t="s">
        <v>207</v>
      </c>
      <c r="I32" s="11" t="s">
        <v>0</v>
      </c>
      <c r="J32" s="1">
        <v>3</v>
      </c>
      <c r="L32" s="1"/>
    </row>
    <row r="33" spans="1:12" ht="36.75" customHeight="1" x14ac:dyDescent="0.25">
      <c r="A33" s="11" t="s">
        <v>74</v>
      </c>
      <c r="B33" s="11" t="s">
        <v>72</v>
      </c>
      <c r="C33" s="11" t="s">
        <v>84</v>
      </c>
      <c r="D33" s="10" t="s">
        <v>86</v>
      </c>
      <c r="E33" s="10"/>
      <c r="F33" s="10"/>
      <c r="G33" s="10"/>
      <c r="H33" s="13" t="s">
        <v>207</v>
      </c>
      <c r="I33" s="11" t="s">
        <v>0</v>
      </c>
      <c r="J33" s="3">
        <v>16</v>
      </c>
      <c r="L33" s="1"/>
    </row>
    <row r="34" spans="1:12" ht="14.25" x14ac:dyDescent="0.25">
      <c r="A34" s="11" t="s">
        <v>75</v>
      </c>
      <c r="B34" s="11" t="s">
        <v>72</v>
      </c>
      <c r="C34" s="11" t="s">
        <v>87</v>
      </c>
      <c r="D34" s="11" t="s">
        <v>87</v>
      </c>
      <c r="E34" s="11"/>
      <c r="F34" s="10"/>
      <c r="G34" s="10"/>
      <c r="H34" s="13" t="s">
        <v>207</v>
      </c>
      <c r="I34" s="11" t="s">
        <v>0</v>
      </c>
      <c r="J34" s="3">
        <v>2</v>
      </c>
      <c r="L34" s="1"/>
    </row>
    <row r="35" spans="1:12" ht="14.25" x14ac:dyDescent="0.25">
      <c r="A35" s="11" t="s">
        <v>76</v>
      </c>
      <c r="B35" s="11" t="s">
        <v>72</v>
      </c>
      <c r="C35" s="6" t="s">
        <v>88</v>
      </c>
      <c r="D35" s="12" t="s">
        <v>95</v>
      </c>
      <c r="E35" s="12"/>
      <c r="F35" s="10"/>
      <c r="G35" s="10"/>
      <c r="H35" s="13" t="s">
        <v>207</v>
      </c>
      <c r="I35" s="11" t="s">
        <v>0</v>
      </c>
      <c r="J35" s="3">
        <v>10</v>
      </c>
      <c r="L35" s="1"/>
    </row>
    <row r="36" spans="1:12" ht="14.25" x14ac:dyDescent="0.25">
      <c r="A36" s="11" t="s">
        <v>77</v>
      </c>
      <c r="B36" s="11" t="s">
        <v>72</v>
      </c>
      <c r="C36" s="11" t="s">
        <v>89</v>
      </c>
      <c r="D36" s="11" t="s">
        <v>90</v>
      </c>
      <c r="E36" s="11"/>
      <c r="F36" s="10"/>
      <c r="G36" s="10"/>
      <c r="H36" s="13" t="s">
        <v>207</v>
      </c>
      <c r="I36" s="11" t="s">
        <v>0</v>
      </c>
      <c r="J36" s="3">
        <v>82</v>
      </c>
      <c r="L36" s="1"/>
    </row>
    <row r="37" spans="1:12" ht="14.25" x14ac:dyDescent="0.25">
      <c r="A37" s="11" t="s">
        <v>78</v>
      </c>
      <c r="B37" s="11" t="s">
        <v>72</v>
      </c>
      <c r="C37" s="10" t="s">
        <v>91</v>
      </c>
      <c r="D37" s="10" t="s">
        <v>92</v>
      </c>
      <c r="E37" s="10"/>
      <c r="F37" s="10"/>
      <c r="G37" s="10"/>
      <c r="H37" s="13" t="s">
        <v>207</v>
      </c>
      <c r="I37" s="11" t="s">
        <v>0</v>
      </c>
      <c r="J37" s="3">
        <v>7</v>
      </c>
      <c r="L37" s="1"/>
    </row>
    <row r="38" spans="1:12" ht="14.25" x14ac:dyDescent="0.25">
      <c r="A38" s="11" t="s">
        <v>79</v>
      </c>
      <c r="B38" s="11" t="s">
        <v>72</v>
      </c>
      <c r="C38" s="11" t="s">
        <v>93</v>
      </c>
      <c r="D38" s="12" t="s">
        <v>95</v>
      </c>
      <c r="E38" s="12"/>
      <c r="F38" s="10"/>
      <c r="G38" s="10"/>
      <c r="H38" s="13" t="s">
        <v>207</v>
      </c>
      <c r="I38" s="11" t="s">
        <v>0</v>
      </c>
      <c r="J38" s="3">
        <v>4</v>
      </c>
      <c r="L38" s="1"/>
    </row>
    <row r="39" spans="1:12" ht="14.25" x14ac:dyDescent="0.25">
      <c r="A39" s="11" t="s">
        <v>80</v>
      </c>
      <c r="B39" s="11" t="s">
        <v>72</v>
      </c>
      <c r="C39" s="11" t="s">
        <v>94</v>
      </c>
      <c r="D39" s="10" t="s">
        <v>96</v>
      </c>
      <c r="E39" s="10"/>
      <c r="F39" s="10"/>
      <c r="G39" s="10"/>
      <c r="H39" s="13" t="s">
        <v>207</v>
      </c>
      <c r="I39" s="11" t="s">
        <v>0</v>
      </c>
      <c r="J39" s="3">
        <v>22</v>
      </c>
      <c r="L39" s="1"/>
    </row>
    <row r="40" spans="1:12" ht="21.75" customHeight="1" x14ac:dyDescent="0.25">
      <c r="A40" s="11" t="s">
        <v>81</v>
      </c>
      <c r="B40" s="11" t="s">
        <v>72</v>
      </c>
      <c r="C40" s="11" t="s">
        <v>97</v>
      </c>
      <c r="D40" s="10" t="s">
        <v>98</v>
      </c>
      <c r="E40" s="10"/>
      <c r="F40" s="10"/>
      <c r="G40" s="10"/>
      <c r="H40" s="13" t="s">
        <v>207</v>
      </c>
      <c r="I40" s="11" t="s">
        <v>0</v>
      </c>
      <c r="J40" s="3">
        <v>2</v>
      </c>
      <c r="L40" s="1"/>
    </row>
    <row r="41" spans="1:12" ht="14.25" x14ac:dyDescent="0.25">
      <c r="A41" s="11" t="s">
        <v>82</v>
      </c>
      <c r="B41" s="11" t="s">
        <v>72</v>
      </c>
      <c r="C41" s="11" t="s">
        <v>99</v>
      </c>
      <c r="D41" s="10" t="s">
        <v>100</v>
      </c>
      <c r="E41" s="10"/>
      <c r="F41" s="10"/>
      <c r="G41" s="10"/>
      <c r="H41" s="13" t="s">
        <v>207</v>
      </c>
      <c r="I41" s="11" t="s">
        <v>0</v>
      </c>
      <c r="J41" s="3">
        <v>27</v>
      </c>
      <c r="L41" s="1"/>
    </row>
    <row r="42" spans="1:12" ht="14.25" x14ac:dyDescent="0.25">
      <c r="A42" s="11" t="s">
        <v>102</v>
      </c>
      <c r="B42" s="11" t="s">
        <v>101</v>
      </c>
      <c r="C42" s="11"/>
      <c r="D42" s="10" t="s">
        <v>86</v>
      </c>
      <c r="E42" s="10"/>
      <c r="F42" s="10"/>
      <c r="G42" s="10"/>
      <c r="H42" s="13" t="s">
        <v>208</v>
      </c>
      <c r="I42" s="11" t="s">
        <v>0</v>
      </c>
      <c r="J42" s="3">
        <v>4</v>
      </c>
      <c r="L42" s="1"/>
    </row>
    <row r="43" spans="1:12" ht="14.25" x14ac:dyDescent="0.25">
      <c r="A43" s="11" t="s">
        <v>105</v>
      </c>
      <c r="B43" s="11" t="s">
        <v>104</v>
      </c>
      <c r="C43" s="11"/>
      <c r="D43" s="10" t="s">
        <v>103</v>
      </c>
      <c r="E43" s="10"/>
      <c r="F43" s="10"/>
      <c r="G43" s="10"/>
      <c r="H43" s="13" t="s">
        <v>209</v>
      </c>
      <c r="I43" s="11" t="s">
        <v>0</v>
      </c>
      <c r="J43" s="3">
        <v>9</v>
      </c>
      <c r="L43" s="1"/>
    </row>
    <row r="44" spans="1:12" ht="14.25" x14ac:dyDescent="0.25">
      <c r="A44" s="11" t="s">
        <v>106</v>
      </c>
      <c r="B44" s="11" t="s">
        <v>330</v>
      </c>
      <c r="C44" s="11"/>
      <c r="D44" s="10" t="s">
        <v>107</v>
      </c>
      <c r="E44" s="10"/>
      <c r="F44" s="10"/>
      <c r="G44" s="10"/>
      <c r="H44" s="13" t="s">
        <v>206</v>
      </c>
      <c r="I44" s="11" t="s">
        <v>0</v>
      </c>
      <c r="J44" s="3">
        <v>4</v>
      </c>
      <c r="L44" s="1"/>
    </row>
    <row r="45" spans="1:12" ht="14.25" x14ac:dyDescent="0.25">
      <c r="A45" s="11" t="s">
        <v>108</v>
      </c>
      <c r="B45" s="11" t="s">
        <v>109</v>
      </c>
      <c r="C45" s="11"/>
      <c r="D45" s="10" t="s">
        <v>110</v>
      </c>
      <c r="E45" s="10"/>
      <c r="F45" s="10"/>
      <c r="G45" s="10"/>
      <c r="H45" s="13" t="s">
        <v>210</v>
      </c>
      <c r="I45" s="11" t="s">
        <v>0</v>
      </c>
      <c r="J45" s="3">
        <v>23</v>
      </c>
      <c r="L45" s="1"/>
    </row>
    <row r="46" spans="1:12" ht="14.25" x14ac:dyDescent="0.25">
      <c r="A46" t="s">
        <v>111</v>
      </c>
      <c r="B46" t="s">
        <v>112</v>
      </c>
      <c r="C46" s="10"/>
      <c r="D46" s="10"/>
      <c r="E46" s="10"/>
      <c r="F46" s="10"/>
      <c r="G46" s="10"/>
      <c r="H46" t="s">
        <v>211</v>
      </c>
      <c r="I46" s="11" t="s">
        <v>0</v>
      </c>
      <c r="J46" s="9">
        <v>80</v>
      </c>
      <c r="L46" s="1"/>
    </row>
    <row r="47" spans="1:12" ht="14.25" x14ac:dyDescent="0.25">
      <c r="A47" s="6" t="s">
        <v>239</v>
      </c>
      <c r="B47" s="11" t="s">
        <v>238</v>
      </c>
      <c r="C47" s="11" t="s">
        <v>244</v>
      </c>
      <c r="D47" s="10" t="s">
        <v>86</v>
      </c>
      <c r="E47" s="10"/>
      <c r="F47" s="10"/>
      <c r="G47" s="10"/>
      <c r="H47" s="11" t="s">
        <v>207</v>
      </c>
      <c r="I47" s="11" t="s">
        <v>0</v>
      </c>
      <c r="J47" s="9">
        <v>1</v>
      </c>
      <c r="L47" s="1"/>
    </row>
    <row r="48" spans="1:12" ht="14.25" x14ac:dyDescent="0.25">
      <c r="A48" s="6" t="s">
        <v>240</v>
      </c>
      <c r="B48" s="11" t="s">
        <v>238</v>
      </c>
      <c r="C48" s="11" t="s">
        <v>245</v>
      </c>
      <c r="D48" s="10" t="s">
        <v>86</v>
      </c>
      <c r="E48" s="10"/>
      <c r="F48" s="10"/>
      <c r="G48" s="10"/>
      <c r="H48" s="11" t="s">
        <v>223</v>
      </c>
      <c r="I48" s="11" t="s">
        <v>0</v>
      </c>
      <c r="J48" s="9">
        <v>1</v>
      </c>
      <c r="L48" s="1"/>
    </row>
    <row r="49" spans="1:12" ht="14.25" x14ac:dyDescent="0.25">
      <c r="A49" s="6" t="s">
        <v>241</v>
      </c>
      <c r="B49" s="11" t="s">
        <v>238</v>
      </c>
      <c r="C49" s="11" t="s">
        <v>247</v>
      </c>
      <c r="D49" s="10" t="s">
        <v>246</v>
      </c>
      <c r="E49" s="10"/>
      <c r="F49" s="10"/>
      <c r="G49" s="10"/>
      <c r="H49" s="11" t="s">
        <v>223</v>
      </c>
      <c r="I49" s="11" t="s">
        <v>0</v>
      </c>
      <c r="J49" s="9">
        <v>2</v>
      </c>
      <c r="L49" s="1"/>
    </row>
    <row r="50" spans="1:12" ht="14.25" x14ac:dyDescent="0.25">
      <c r="A50" s="6" t="s">
        <v>242</v>
      </c>
      <c r="B50" s="11" t="s">
        <v>238</v>
      </c>
      <c r="C50" s="11" t="s">
        <v>248</v>
      </c>
      <c r="D50" s="10" t="s">
        <v>86</v>
      </c>
      <c r="E50" s="10"/>
      <c r="F50" s="10"/>
      <c r="G50" s="10"/>
      <c r="H50" s="11" t="s">
        <v>217</v>
      </c>
      <c r="I50" s="11" t="s">
        <v>0</v>
      </c>
      <c r="J50" s="9">
        <v>1</v>
      </c>
      <c r="L50" s="1"/>
    </row>
    <row r="51" spans="1:12" ht="14.25" x14ac:dyDescent="0.25">
      <c r="A51" s="6" t="s">
        <v>243</v>
      </c>
      <c r="B51" s="11" t="s">
        <v>238</v>
      </c>
      <c r="C51" s="11" t="s">
        <v>250</v>
      </c>
      <c r="D51" s="10" t="s">
        <v>86</v>
      </c>
      <c r="E51" s="10"/>
      <c r="F51" s="10"/>
      <c r="G51" s="10"/>
      <c r="H51" s="11" t="s">
        <v>249</v>
      </c>
      <c r="I51" s="11" t="s">
        <v>0</v>
      </c>
      <c r="J51" s="9">
        <v>7</v>
      </c>
      <c r="L51" s="1"/>
    </row>
    <row r="52" spans="1:12" ht="14.25" x14ac:dyDescent="0.25">
      <c r="A52" s="6" t="s">
        <v>251</v>
      </c>
      <c r="B52" t="s">
        <v>113</v>
      </c>
      <c r="C52" s="11" t="s">
        <v>253</v>
      </c>
      <c r="D52" s="11" t="s">
        <v>253</v>
      </c>
      <c r="E52" s="11"/>
      <c r="F52" s="10"/>
      <c r="G52" s="10"/>
      <c r="H52" s="11" t="s">
        <v>254</v>
      </c>
      <c r="I52" s="11" t="s">
        <v>0</v>
      </c>
      <c r="J52" s="9">
        <v>9</v>
      </c>
      <c r="L52" s="1"/>
    </row>
    <row r="53" spans="1:12" ht="14.25" x14ac:dyDescent="0.25">
      <c r="A53" s="6" t="s">
        <v>252</v>
      </c>
      <c r="B53" t="s">
        <v>113</v>
      </c>
      <c r="C53" s="11" t="s">
        <v>255</v>
      </c>
      <c r="D53" s="11" t="s">
        <v>255</v>
      </c>
      <c r="E53" s="11"/>
      <c r="F53" s="10"/>
      <c r="G53" s="10"/>
      <c r="H53" s="11" t="s">
        <v>212</v>
      </c>
      <c r="I53" s="11" t="s">
        <v>0</v>
      </c>
      <c r="J53" s="9">
        <v>10</v>
      </c>
      <c r="L53" s="1"/>
    </row>
    <row r="54" spans="1:12" ht="14.25" x14ac:dyDescent="0.25">
      <c r="A54" s="6" t="s">
        <v>256</v>
      </c>
      <c r="B54" t="s">
        <v>114</v>
      </c>
      <c r="C54" s="11" t="s">
        <v>258</v>
      </c>
      <c r="D54" s="10" t="s">
        <v>259</v>
      </c>
      <c r="E54" s="10"/>
      <c r="F54" s="10"/>
      <c r="G54" s="10"/>
      <c r="H54" s="11" t="s">
        <v>213</v>
      </c>
      <c r="I54" s="11" t="s">
        <v>0</v>
      </c>
      <c r="J54" s="9">
        <v>14</v>
      </c>
      <c r="L54" s="1"/>
    </row>
    <row r="55" spans="1:12" ht="14.25" x14ac:dyDescent="0.25">
      <c r="A55" s="6" t="s">
        <v>257</v>
      </c>
      <c r="B55" t="s">
        <v>114</v>
      </c>
      <c r="C55" s="11" t="s">
        <v>260</v>
      </c>
      <c r="D55" s="10" t="s">
        <v>259</v>
      </c>
      <c r="E55" s="10"/>
      <c r="F55" s="10"/>
      <c r="G55" s="10"/>
      <c r="H55" s="11" t="s">
        <v>261</v>
      </c>
      <c r="I55" s="11" t="s">
        <v>0</v>
      </c>
      <c r="J55" s="9">
        <v>1</v>
      </c>
      <c r="L55" s="1"/>
    </row>
    <row r="56" spans="1:12" ht="14.25" x14ac:dyDescent="0.25">
      <c r="A56" t="s">
        <v>115</v>
      </c>
      <c r="B56" t="s">
        <v>116</v>
      </c>
      <c r="C56"/>
      <c r="D56" s="10" t="s">
        <v>86</v>
      </c>
      <c r="E56" s="10"/>
      <c r="F56" s="10"/>
      <c r="G56" s="10"/>
      <c r="H56" t="s">
        <v>214</v>
      </c>
      <c r="I56" s="11" t="s">
        <v>0</v>
      </c>
      <c r="J56" s="9">
        <v>4</v>
      </c>
      <c r="L56" s="1"/>
    </row>
    <row r="57" spans="1:12" ht="14.25" x14ac:dyDescent="0.25">
      <c r="A57" t="s">
        <v>117</v>
      </c>
      <c r="B57" t="s">
        <v>118</v>
      </c>
      <c r="C57"/>
      <c r="D57"/>
      <c r="E57"/>
      <c r="F57" s="10"/>
      <c r="G57" s="10"/>
      <c r="H57"/>
      <c r="I57" s="11" t="s">
        <v>0</v>
      </c>
      <c r="J57" s="9">
        <v>3</v>
      </c>
      <c r="L57" s="1"/>
    </row>
    <row r="58" spans="1:12" ht="28.5" x14ac:dyDescent="0.25">
      <c r="A58" s="11" t="s">
        <v>119</v>
      </c>
      <c r="B58" s="15" t="s">
        <v>339</v>
      </c>
      <c r="C58" s="11"/>
      <c r="D58" s="11" t="s">
        <v>262</v>
      </c>
      <c r="E58" s="11"/>
      <c r="F58" s="11"/>
      <c r="G58" s="11"/>
      <c r="H58"/>
      <c r="I58" s="11" t="s">
        <v>0</v>
      </c>
      <c r="J58" s="9">
        <v>1</v>
      </c>
      <c r="L58" s="1"/>
    </row>
    <row r="59" spans="1:12" ht="42.75" x14ac:dyDescent="0.25">
      <c r="A59" s="11" t="s">
        <v>120</v>
      </c>
      <c r="B59" s="15" t="s">
        <v>332</v>
      </c>
      <c r="C59" s="11" t="s">
        <v>263</v>
      </c>
      <c r="D59" s="11"/>
      <c r="E59" s="11"/>
      <c r="F59" s="11"/>
      <c r="G59" s="11"/>
      <c r="H59"/>
      <c r="I59" s="11" t="s">
        <v>0</v>
      </c>
      <c r="J59" s="9">
        <v>8</v>
      </c>
      <c r="L59" s="1"/>
    </row>
    <row r="60" spans="1:12" ht="42.75" x14ac:dyDescent="0.25">
      <c r="A60" s="11" t="s">
        <v>121</v>
      </c>
      <c r="B60" s="15" t="s">
        <v>333</v>
      </c>
      <c r="C60" s="11" t="s">
        <v>265</v>
      </c>
      <c r="D60" s="11" t="s">
        <v>259</v>
      </c>
      <c r="E60" s="11"/>
      <c r="F60" s="11"/>
      <c r="G60" s="11"/>
      <c r="H60"/>
      <c r="I60" s="11" t="s">
        <v>0</v>
      </c>
      <c r="J60" s="9">
        <v>17</v>
      </c>
      <c r="L60" s="1"/>
    </row>
    <row r="61" spans="1:12" ht="14.25" x14ac:dyDescent="0.25">
      <c r="A61" s="11" t="s">
        <v>122</v>
      </c>
      <c r="B61" s="11" t="s">
        <v>123</v>
      </c>
      <c r="C61" s="11"/>
      <c r="D61" s="6" t="s">
        <v>266</v>
      </c>
      <c r="E61" s="6"/>
      <c r="F61" s="11"/>
      <c r="G61" s="11"/>
      <c r="H61" t="s">
        <v>215</v>
      </c>
      <c r="I61" s="11" t="s">
        <v>0</v>
      </c>
      <c r="J61" s="9">
        <v>15</v>
      </c>
      <c r="L61" s="1"/>
    </row>
    <row r="62" spans="1:12" ht="14.25" x14ac:dyDescent="0.25">
      <c r="A62" s="11" t="s">
        <v>124</v>
      </c>
      <c r="B62" s="11" t="s">
        <v>125</v>
      </c>
      <c r="C62" s="11"/>
      <c r="D62" s="11" t="s">
        <v>69</v>
      </c>
      <c r="E62" s="11"/>
      <c r="F62" s="11"/>
      <c r="G62" s="11"/>
      <c r="H62" t="s">
        <v>216</v>
      </c>
      <c r="I62" s="11" t="s">
        <v>0</v>
      </c>
      <c r="J62" s="9">
        <v>3</v>
      </c>
      <c r="L62" s="1"/>
    </row>
    <row r="63" spans="1:12" ht="14.25" x14ac:dyDescent="0.25">
      <c r="A63" s="11" t="s">
        <v>126</v>
      </c>
      <c r="B63" s="11" t="s">
        <v>127</v>
      </c>
      <c r="C63" s="11"/>
      <c r="D63" s="11" t="s">
        <v>15</v>
      </c>
      <c r="E63" s="11"/>
      <c r="F63" s="11"/>
      <c r="G63" s="11"/>
      <c r="H63" t="s">
        <v>214</v>
      </c>
      <c r="I63" s="11" t="s">
        <v>0</v>
      </c>
      <c r="J63" s="9">
        <v>3</v>
      </c>
      <c r="L63" s="1"/>
    </row>
    <row r="64" spans="1:12" ht="14.25" x14ac:dyDescent="0.25">
      <c r="A64" s="11" t="s">
        <v>267</v>
      </c>
      <c r="B64" s="11" t="s">
        <v>128</v>
      </c>
      <c r="C64" s="11" t="s">
        <v>279</v>
      </c>
      <c r="D64" s="11" t="s">
        <v>279</v>
      </c>
      <c r="E64" s="11"/>
      <c r="F64" s="11"/>
      <c r="G64" s="11"/>
      <c r="H64" s="11" t="s">
        <v>206</v>
      </c>
      <c r="I64" s="11" t="s">
        <v>0</v>
      </c>
      <c r="J64" s="9">
        <v>34</v>
      </c>
      <c r="L64" s="1"/>
    </row>
    <row r="65" spans="1:12" ht="14.25" x14ac:dyDescent="0.25">
      <c r="A65" s="11" t="s">
        <v>268</v>
      </c>
      <c r="B65" s="11" t="s">
        <v>128</v>
      </c>
      <c r="C65" s="11" t="s">
        <v>280</v>
      </c>
      <c r="D65" s="11" t="s">
        <v>281</v>
      </c>
      <c r="E65" s="11"/>
      <c r="F65" s="11"/>
      <c r="G65" s="11"/>
      <c r="H65" s="11" t="s">
        <v>232</v>
      </c>
      <c r="I65" s="11" t="s">
        <v>0</v>
      </c>
      <c r="J65" s="9">
        <v>27</v>
      </c>
      <c r="L65" s="1"/>
    </row>
    <row r="66" spans="1:12" ht="14.25" x14ac:dyDescent="0.25">
      <c r="A66" s="11" t="s">
        <v>269</v>
      </c>
      <c r="B66" s="11" t="s">
        <v>128</v>
      </c>
      <c r="C66" s="11" t="s">
        <v>282</v>
      </c>
      <c r="D66" s="6" t="s">
        <v>290</v>
      </c>
      <c r="E66" s="6"/>
      <c r="F66" s="11"/>
      <c r="G66" s="11"/>
      <c r="H66" s="11" t="s">
        <v>232</v>
      </c>
      <c r="I66" s="11" t="s">
        <v>0</v>
      </c>
      <c r="J66" s="9">
        <v>12</v>
      </c>
      <c r="L66" s="1"/>
    </row>
    <row r="67" spans="1:12" ht="14.25" x14ac:dyDescent="0.25">
      <c r="A67" s="11" t="s">
        <v>270</v>
      </c>
      <c r="B67" s="11" t="s">
        <v>128</v>
      </c>
      <c r="C67" s="11" t="s">
        <v>283</v>
      </c>
      <c r="D67" s="11" t="s">
        <v>281</v>
      </c>
      <c r="E67" s="11"/>
      <c r="F67" s="11"/>
      <c r="G67" s="11"/>
      <c r="H67" s="11" t="s">
        <v>232</v>
      </c>
      <c r="I67" s="11" t="s">
        <v>0</v>
      </c>
      <c r="J67" s="9">
        <v>5</v>
      </c>
      <c r="L67" s="1"/>
    </row>
    <row r="68" spans="1:12" ht="14.25" x14ac:dyDescent="0.25">
      <c r="A68" s="11" t="s">
        <v>271</v>
      </c>
      <c r="B68" s="11" t="s">
        <v>128</v>
      </c>
      <c r="C68" s="11" t="s">
        <v>284</v>
      </c>
      <c r="D68" s="11" t="s">
        <v>281</v>
      </c>
      <c r="E68" s="11"/>
      <c r="F68" s="11"/>
      <c r="G68" s="11"/>
      <c r="H68" s="11" t="s">
        <v>232</v>
      </c>
      <c r="I68" s="11" t="s">
        <v>0</v>
      </c>
      <c r="J68" s="9">
        <v>5</v>
      </c>
      <c r="L68" s="1"/>
    </row>
    <row r="69" spans="1:12" ht="14.25" x14ac:dyDescent="0.25">
      <c r="A69" s="11" t="s">
        <v>272</v>
      </c>
      <c r="B69" s="11" t="s">
        <v>128</v>
      </c>
      <c r="C69" s="11" t="s">
        <v>285</v>
      </c>
      <c r="D69" s="11" t="s">
        <v>281</v>
      </c>
      <c r="E69" s="11"/>
      <c r="F69" s="11"/>
      <c r="G69" s="11"/>
      <c r="H69" s="11" t="s">
        <v>232</v>
      </c>
      <c r="I69" s="11" t="s">
        <v>0</v>
      </c>
      <c r="J69" s="9">
        <v>5</v>
      </c>
      <c r="L69" s="1"/>
    </row>
    <row r="70" spans="1:12" ht="14.25" x14ac:dyDescent="0.25">
      <c r="A70" s="11" t="s">
        <v>273</v>
      </c>
      <c r="B70" s="11" t="s">
        <v>128</v>
      </c>
      <c r="C70" s="11" t="s">
        <v>286</v>
      </c>
      <c r="D70" s="11" t="s">
        <v>281</v>
      </c>
      <c r="E70" s="11"/>
      <c r="F70" s="11"/>
      <c r="G70" s="11"/>
      <c r="H70" s="11" t="s">
        <v>232</v>
      </c>
      <c r="I70" s="11" t="s">
        <v>0</v>
      </c>
      <c r="J70" s="14">
        <v>21</v>
      </c>
      <c r="L70" s="1"/>
    </row>
    <row r="71" spans="1:12" ht="14.25" x14ac:dyDescent="0.25">
      <c r="A71" s="11" t="s">
        <v>274</v>
      </c>
      <c r="B71" s="11" t="s">
        <v>128</v>
      </c>
      <c r="C71" s="11" t="s">
        <v>287</v>
      </c>
      <c r="D71" s="11" t="s">
        <v>281</v>
      </c>
      <c r="E71" s="11"/>
      <c r="F71" s="11"/>
      <c r="G71" s="11"/>
      <c r="H71" s="11" t="s">
        <v>232</v>
      </c>
      <c r="I71" s="11" t="s">
        <v>0</v>
      </c>
      <c r="J71" s="9">
        <v>15</v>
      </c>
      <c r="L71" s="1"/>
    </row>
    <row r="72" spans="1:12" ht="14.25" x14ac:dyDescent="0.25">
      <c r="A72" s="11" t="s">
        <v>275</v>
      </c>
      <c r="B72" s="11" t="s">
        <v>128</v>
      </c>
      <c r="C72" s="11" t="s">
        <v>288</v>
      </c>
      <c r="D72" s="11" t="s">
        <v>281</v>
      </c>
      <c r="E72" s="11"/>
      <c r="F72" s="11"/>
      <c r="G72" s="11"/>
      <c r="H72" s="11" t="s">
        <v>232</v>
      </c>
      <c r="I72" s="11" t="s">
        <v>0</v>
      </c>
      <c r="J72" s="9">
        <v>3</v>
      </c>
      <c r="L72" s="1"/>
    </row>
    <row r="73" spans="1:12" ht="14.25" x14ac:dyDescent="0.25">
      <c r="A73" s="11" t="s">
        <v>276</v>
      </c>
      <c r="B73" s="11" t="s">
        <v>128</v>
      </c>
      <c r="C73" s="11" t="s">
        <v>289</v>
      </c>
      <c r="D73" s="6" t="s">
        <v>290</v>
      </c>
      <c r="E73" s="6"/>
      <c r="F73" s="11"/>
      <c r="G73" s="11"/>
      <c r="H73" s="11" t="s">
        <v>232</v>
      </c>
      <c r="I73" s="11" t="s">
        <v>0</v>
      </c>
      <c r="J73" s="9">
        <v>7</v>
      </c>
      <c r="L73" s="1"/>
    </row>
    <row r="74" spans="1:12" ht="14.25" x14ac:dyDescent="0.25">
      <c r="A74" s="11" t="s">
        <v>277</v>
      </c>
      <c r="B74" s="11" t="s">
        <v>128</v>
      </c>
      <c r="C74" s="11" t="s">
        <v>291</v>
      </c>
      <c r="D74" s="11" t="s">
        <v>281</v>
      </c>
      <c r="E74" s="11"/>
      <c r="F74" s="11"/>
      <c r="G74" s="11"/>
      <c r="H74" s="11" t="s">
        <v>232</v>
      </c>
      <c r="I74" s="11" t="s">
        <v>0</v>
      </c>
      <c r="J74" s="9">
        <v>50</v>
      </c>
      <c r="L74" s="1"/>
    </row>
    <row r="75" spans="1:12" ht="14.25" x14ac:dyDescent="0.25">
      <c r="A75" s="11" t="s">
        <v>278</v>
      </c>
      <c r="B75" s="11" t="s">
        <v>128</v>
      </c>
      <c r="C75" s="11" t="s">
        <v>292</v>
      </c>
      <c r="D75" s="11" t="s">
        <v>293</v>
      </c>
      <c r="E75" s="11"/>
      <c r="F75" s="11"/>
      <c r="G75" s="11"/>
      <c r="H75" s="11" t="s">
        <v>232</v>
      </c>
      <c r="I75" s="11" t="s">
        <v>0</v>
      </c>
      <c r="J75" s="9">
        <v>4</v>
      </c>
      <c r="L75" s="1"/>
    </row>
    <row r="76" spans="1:12" ht="14.25" x14ac:dyDescent="0.25">
      <c r="A76" s="11" t="s">
        <v>129</v>
      </c>
      <c r="B76" s="11" t="s">
        <v>130</v>
      </c>
      <c r="C76" s="11"/>
      <c r="D76" s="11" t="s">
        <v>294</v>
      </c>
      <c r="E76" s="11"/>
      <c r="F76" s="11"/>
      <c r="G76" s="11"/>
      <c r="H76" t="s">
        <v>217</v>
      </c>
      <c r="I76" s="11" t="s">
        <v>0</v>
      </c>
      <c r="J76" s="9">
        <v>10</v>
      </c>
      <c r="L76" s="1"/>
    </row>
    <row r="77" spans="1:12" ht="14.25" x14ac:dyDescent="0.25">
      <c r="A77" s="11" t="s">
        <v>131</v>
      </c>
      <c r="B77" s="11" t="s">
        <v>295</v>
      </c>
      <c r="C77" s="11"/>
      <c r="D77" s="11" t="s">
        <v>294</v>
      </c>
      <c r="E77" s="11"/>
      <c r="F77" s="11"/>
      <c r="G77" s="11"/>
      <c r="H77" t="s">
        <v>218</v>
      </c>
      <c r="I77" s="11" t="s">
        <v>0</v>
      </c>
      <c r="J77" s="9">
        <v>1</v>
      </c>
      <c r="L77" s="1"/>
    </row>
    <row r="78" spans="1:12" ht="42.75" x14ac:dyDescent="0.25">
      <c r="A78" s="11" t="s">
        <v>296</v>
      </c>
      <c r="B78" s="15" t="s">
        <v>331</v>
      </c>
      <c r="C78" s="11" t="s">
        <v>299</v>
      </c>
      <c r="D78" s="11" t="s">
        <v>294</v>
      </c>
      <c r="E78" s="11"/>
      <c r="F78" s="11"/>
      <c r="G78" s="11"/>
      <c r="H78" s="11" t="s">
        <v>207</v>
      </c>
      <c r="I78" s="11" t="s">
        <v>0</v>
      </c>
      <c r="J78" s="9">
        <v>28</v>
      </c>
      <c r="L78" s="1"/>
    </row>
    <row r="79" spans="1:12" ht="42.75" x14ac:dyDescent="0.25">
      <c r="A79" s="11" t="s">
        <v>297</v>
      </c>
      <c r="B79" s="15" t="s">
        <v>331</v>
      </c>
      <c r="C79" s="11" t="s">
        <v>300</v>
      </c>
      <c r="D79" s="11" t="s">
        <v>294</v>
      </c>
      <c r="E79" s="11"/>
      <c r="F79" s="11"/>
      <c r="G79" s="11"/>
      <c r="H79" s="11" t="s">
        <v>207</v>
      </c>
      <c r="I79" s="11" t="s">
        <v>0</v>
      </c>
      <c r="J79" s="9">
        <v>12</v>
      </c>
      <c r="L79" s="1"/>
    </row>
    <row r="80" spans="1:12" ht="42.75" x14ac:dyDescent="0.25">
      <c r="A80" s="11" t="s">
        <v>298</v>
      </c>
      <c r="B80" s="15" t="s">
        <v>331</v>
      </c>
      <c r="C80" s="11" t="s">
        <v>301</v>
      </c>
      <c r="D80" s="11" t="s">
        <v>294</v>
      </c>
      <c r="E80" s="11"/>
      <c r="F80" s="11"/>
      <c r="G80" s="11"/>
      <c r="H80" s="11" t="s">
        <v>207</v>
      </c>
      <c r="I80" s="11" t="s">
        <v>0</v>
      </c>
      <c r="J80" s="9">
        <v>42</v>
      </c>
      <c r="L80" s="1"/>
    </row>
    <row r="81" spans="1:12" ht="14.25" x14ac:dyDescent="0.25">
      <c r="A81" s="11" t="s">
        <v>302</v>
      </c>
      <c r="B81" s="11" t="s">
        <v>305</v>
      </c>
      <c r="C81" s="11" t="s">
        <v>306</v>
      </c>
      <c r="D81" s="11" t="s">
        <v>307</v>
      </c>
      <c r="E81" s="11"/>
      <c r="F81" s="11"/>
      <c r="G81" s="11"/>
      <c r="H81" s="11" t="s">
        <v>232</v>
      </c>
      <c r="I81" s="11" t="s">
        <v>0</v>
      </c>
      <c r="J81" s="9">
        <v>29</v>
      </c>
      <c r="L81" s="1"/>
    </row>
    <row r="82" spans="1:12" ht="14.25" x14ac:dyDescent="0.25">
      <c r="A82" s="11" t="s">
        <v>303</v>
      </c>
      <c r="B82" s="11" t="s">
        <v>305</v>
      </c>
      <c r="C82" s="11" t="s">
        <v>308</v>
      </c>
      <c r="D82" s="11" t="s">
        <v>307</v>
      </c>
      <c r="E82" s="11"/>
      <c r="F82" s="11"/>
      <c r="G82" s="11"/>
      <c r="H82" s="11" t="s">
        <v>217</v>
      </c>
      <c r="I82" s="11" t="s">
        <v>0</v>
      </c>
      <c r="J82" s="9">
        <v>20</v>
      </c>
      <c r="L82" s="1"/>
    </row>
    <row r="83" spans="1:12" ht="14.25" x14ac:dyDescent="0.25">
      <c r="A83" s="11" t="s">
        <v>304</v>
      </c>
      <c r="B83" s="11" t="s">
        <v>305</v>
      </c>
      <c r="C83" s="11" t="s">
        <v>309</v>
      </c>
      <c r="D83" s="11" t="s">
        <v>307</v>
      </c>
      <c r="E83" s="11"/>
      <c r="F83" s="11"/>
      <c r="G83" s="11"/>
      <c r="H83" s="11" t="s">
        <v>236</v>
      </c>
      <c r="I83" s="11" t="s">
        <v>0</v>
      </c>
      <c r="J83" s="9">
        <v>28</v>
      </c>
      <c r="L83" s="1"/>
    </row>
    <row r="84" spans="1:12" ht="14.25" x14ac:dyDescent="0.25">
      <c r="A84" s="11" t="s">
        <v>132</v>
      </c>
      <c r="B84" s="11" t="s">
        <v>133</v>
      </c>
      <c r="C84" s="11"/>
      <c r="D84" s="11" t="s">
        <v>92</v>
      </c>
      <c r="E84" s="11"/>
      <c r="F84" s="11"/>
      <c r="G84" s="11"/>
      <c r="H84" t="s">
        <v>207</v>
      </c>
      <c r="I84" s="11" t="s">
        <v>0</v>
      </c>
      <c r="J84" s="9">
        <v>3</v>
      </c>
      <c r="L84" s="1"/>
    </row>
    <row r="85" spans="1:12" ht="14.25" x14ac:dyDescent="0.25">
      <c r="A85" s="11" t="s">
        <v>134</v>
      </c>
      <c r="B85" s="11" t="s">
        <v>135</v>
      </c>
      <c r="C85" s="11"/>
      <c r="D85" s="11" t="s">
        <v>70</v>
      </c>
      <c r="E85" s="11"/>
      <c r="F85" s="11"/>
      <c r="G85" s="11"/>
      <c r="H85" t="s">
        <v>219</v>
      </c>
      <c r="I85" s="11" t="s">
        <v>0</v>
      </c>
      <c r="J85" s="9">
        <v>3</v>
      </c>
      <c r="L85" s="1"/>
    </row>
    <row r="86" spans="1:12" ht="14.25" x14ac:dyDescent="0.25">
      <c r="A86" s="11" t="s">
        <v>136</v>
      </c>
      <c r="B86" s="11" t="s">
        <v>137</v>
      </c>
      <c r="C86" s="11"/>
      <c r="D86" s="11" t="s">
        <v>310</v>
      </c>
      <c r="E86" s="11"/>
      <c r="F86" s="11"/>
      <c r="G86" s="11"/>
      <c r="H86" t="s">
        <v>220</v>
      </c>
      <c r="I86" s="11" t="s">
        <v>0</v>
      </c>
      <c r="J86" s="9">
        <v>2</v>
      </c>
      <c r="L86" s="1"/>
    </row>
    <row r="87" spans="1:12" ht="14.25" x14ac:dyDescent="0.25">
      <c r="A87" s="11" t="s">
        <v>138</v>
      </c>
      <c r="B87" s="11" t="s">
        <v>139</v>
      </c>
      <c r="C87" s="11"/>
      <c r="D87" s="11" t="s">
        <v>311</v>
      </c>
      <c r="E87" s="11"/>
      <c r="F87" s="11"/>
      <c r="G87" s="11"/>
      <c r="H87" t="s">
        <v>221</v>
      </c>
      <c r="I87" s="11" t="s">
        <v>0</v>
      </c>
      <c r="J87" s="9">
        <v>20</v>
      </c>
      <c r="L87" s="1"/>
    </row>
    <row r="88" spans="1:12" ht="28.5" x14ac:dyDescent="0.25">
      <c r="A88" s="11" t="s">
        <v>140</v>
      </c>
      <c r="B88" s="15" t="s">
        <v>340</v>
      </c>
      <c r="C88" s="11"/>
      <c r="D88" s="6" t="s">
        <v>312</v>
      </c>
      <c r="E88" s="6"/>
      <c r="F88" s="11"/>
      <c r="G88" s="11"/>
      <c r="H88" t="s">
        <v>218</v>
      </c>
      <c r="I88" s="11" t="s">
        <v>0</v>
      </c>
      <c r="J88" s="9">
        <v>6</v>
      </c>
      <c r="L88" s="1"/>
    </row>
    <row r="89" spans="1:12" ht="28.5" x14ac:dyDescent="0.25">
      <c r="A89" s="11" t="s">
        <v>141</v>
      </c>
      <c r="B89" s="15" t="s">
        <v>341</v>
      </c>
      <c r="C89" s="11"/>
      <c r="D89" s="11" t="s">
        <v>110</v>
      </c>
      <c r="E89" s="11"/>
      <c r="F89" s="11"/>
      <c r="G89" s="11"/>
      <c r="H89" t="s">
        <v>216</v>
      </c>
      <c r="I89" s="11" t="s">
        <v>0</v>
      </c>
      <c r="J89" s="9">
        <v>7</v>
      </c>
      <c r="L89" s="1"/>
    </row>
    <row r="90" spans="1:12" ht="14.25" x14ac:dyDescent="0.25">
      <c r="A90" s="11" t="s">
        <v>142</v>
      </c>
      <c r="B90" s="11" t="s">
        <v>313</v>
      </c>
      <c r="C90" s="11"/>
      <c r="D90" s="11" t="s">
        <v>314</v>
      </c>
      <c r="E90" s="11"/>
      <c r="F90" s="11"/>
      <c r="G90" s="11"/>
      <c r="H90" t="s">
        <v>222</v>
      </c>
      <c r="I90" s="11" t="s">
        <v>0</v>
      </c>
      <c r="J90" s="9">
        <v>32</v>
      </c>
      <c r="L90" s="1"/>
    </row>
    <row r="91" spans="1:12" ht="14.25" x14ac:dyDescent="0.25">
      <c r="A91" s="11" t="s">
        <v>143</v>
      </c>
      <c r="B91" s="11" t="s">
        <v>144</v>
      </c>
      <c r="C91" s="11"/>
      <c r="D91" s="12"/>
      <c r="E91" s="12"/>
      <c r="F91" s="10"/>
      <c r="G91" s="10"/>
      <c r="H91" t="s">
        <v>223</v>
      </c>
      <c r="I91" s="11" t="s">
        <v>0</v>
      </c>
      <c r="J91" s="9">
        <v>3</v>
      </c>
      <c r="L91" s="1"/>
    </row>
    <row r="92" spans="1:12" ht="14.25" x14ac:dyDescent="0.25">
      <c r="A92" s="11" t="s">
        <v>145</v>
      </c>
      <c r="B92" s="11" t="s">
        <v>146</v>
      </c>
      <c r="C92" s="11"/>
      <c r="D92" s="11" t="s">
        <v>315</v>
      </c>
      <c r="E92" s="11"/>
      <c r="F92" s="11" t="s">
        <v>316</v>
      </c>
      <c r="G92" s="11"/>
      <c r="H92" t="s">
        <v>224</v>
      </c>
      <c r="I92" s="11" t="s">
        <v>0</v>
      </c>
      <c r="J92" s="9">
        <v>3</v>
      </c>
      <c r="L92" s="1"/>
    </row>
    <row r="93" spans="1:12" ht="14.25" x14ac:dyDescent="0.25">
      <c r="A93" s="11" t="s">
        <v>147</v>
      </c>
      <c r="B93" s="11" t="s">
        <v>148</v>
      </c>
      <c r="C93" s="11"/>
      <c r="D93" s="11"/>
      <c r="E93" s="11"/>
      <c r="F93" s="11"/>
      <c r="G93" s="11"/>
      <c r="H93" t="s">
        <v>204</v>
      </c>
      <c r="I93" s="11" t="s">
        <v>0</v>
      </c>
      <c r="J93" s="9">
        <v>1</v>
      </c>
      <c r="L93" s="1"/>
    </row>
    <row r="94" spans="1:12" ht="14.25" x14ac:dyDescent="0.25">
      <c r="A94" s="11" t="s">
        <v>149</v>
      </c>
      <c r="B94" s="11" t="s">
        <v>317</v>
      </c>
      <c r="C94" s="11"/>
      <c r="D94" s="11" t="s">
        <v>317</v>
      </c>
      <c r="E94" s="11"/>
      <c r="F94" s="11"/>
      <c r="G94" s="11"/>
      <c r="H94" t="s">
        <v>204</v>
      </c>
      <c r="I94" s="11" t="s">
        <v>0</v>
      </c>
      <c r="J94" s="9">
        <v>8</v>
      </c>
      <c r="L94" s="1"/>
    </row>
    <row r="95" spans="1:12" ht="14.25" x14ac:dyDescent="0.25">
      <c r="A95" s="11" t="s">
        <v>150</v>
      </c>
      <c r="B95" s="11" t="s">
        <v>92</v>
      </c>
      <c r="C95" s="11"/>
      <c r="D95" s="11" t="s">
        <v>92</v>
      </c>
      <c r="E95" s="11"/>
      <c r="F95" s="11"/>
      <c r="G95" s="11"/>
      <c r="H95" t="s">
        <v>204</v>
      </c>
      <c r="I95" s="11" t="s">
        <v>0</v>
      </c>
      <c r="J95" s="9">
        <v>1</v>
      </c>
      <c r="L95" s="1"/>
    </row>
    <row r="96" spans="1:12" ht="14.25" x14ac:dyDescent="0.25">
      <c r="A96" s="11" t="s">
        <v>151</v>
      </c>
      <c r="B96" s="11" t="s">
        <v>266</v>
      </c>
      <c r="C96" s="11"/>
      <c r="D96" s="11" t="s">
        <v>266</v>
      </c>
      <c r="E96" s="11"/>
      <c r="F96" s="11"/>
      <c r="G96" s="11"/>
      <c r="H96" t="s">
        <v>204</v>
      </c>
      <c r="I96" s="11" t="s">
        <v>0</v>
      </c>
      <c r="J96" s="9">
        <v>1</v>
      </c>
      <c r="L96" s="1"/>
    </row>
    <row r="97" spans="1:12" ht="14.25" x14ac:dyDescent="0.25">
      <c r="A97" s="11" t="s">
        <v>152</v>
      </c>
      <c r="B97" s="11" t="s">
        <v>153</v>
      </c>
      <c r="C97" s="11"/>
      <c r="D97" s="11" t="s">
        <v>153</v>
      </c>
      <c r="E97" s="11"/>
      <c r="F97" s="11"/>
      <c r="G97" s="11"/>
      <c r="H97" t="s">
        <v>204</v>
      </c>
      <c r="I97" s="11" t="s">
        <v>0</v>
      </c>
      <c r="J97" s="9">
        <v>1</v>
      </c>
      <c r="L97" s="1"/>
    </row>
    <row r="98" spans="1:12" ht="28.5" x14ac:dyDescent="0.25">
      <c r="A98" s="11" t="s">
        <v>154</v>
      </c>
      <c r="B98" s="15" t="s">
        <v>342</v>
      </c>
      <c r="C98" s="11"/>
      <c r="D98" s="11" t="s">
        <v>69</v>
      </c>
      <c r="E98" s="11"/>
      <c r="F98" s="11"/>
      <c r="G98" s="11"/>
      <c r="H98" t="s">
        <v>204</v>
      </c>
      <c r="I98" s="11" t="s">
        <v>0</v>
      </c>
      <c r="J98" s="9">
        <v>5</v>
      </c>
      <c r="L98" s="1"/>
    </row>
    <row r="99" spans="1:12" ht="28.5" x14ac:dyDescent="0.25">
      <c r="A99" s="11" t="s">
        <v>155</v>
      </c>
      <c r="B99" s="15" t="s">
        <v>343</v>
      </c>
      <c r="C99" s="11"/>
      <c r="D99" s="11" t="s">
        <v>264</v>
      </c>
      <c r="E99" s="11"/>
      <c r="F99" s="11"/>
      <c r="G99" s="11"/>
      <c r="H99" t="s">
        <v>204</v>
      </c>
      <c r="I99" s="11" t="s">
        <v>0</v>
      </c>
      <c r="J99" s="9">
        <v>4</v>
      </c>
      <c r="L99" s="1"/>
    </row>
    <row r="100" spans="1:12" ht="14.25" x14ac:dyDescent="0.25">
      <c r="A100" s="11" t="s">
        <v>156</v>
      </c>
      <c r="B100" s="11" t="s">
        <v>157</v>
      </c>
      <c r="C100" s="11"/>
      <c r="D100" s="11" t="s">
        <v>318</v>
      </c>
      <c r="E100" s="11"/>
      <c r="F100" s="11"/>
      <c r="G100" s="11"/>
      <c r="H100" t="s">
        <v>207</v>
      </c>
      <c r="I100" s="11" t="s">
        <v>0</v>
      </c>
      <c r="J100" s="9">
        <v>2</v>
      </c>
      <c r="L100" s="1"/>
    </row>
    <row r="101" spans="1:12" ht="14.25" x14ac:dyDescent="0.25">
      <c r="A101" s="11" t="s">
        <v>158</v>
      </c>
      <c r="B101" s="11" t="s">
        <v>159</v>
      </c>
      <c r="C101" s="11"/>
      <c r="D101" s="6" t="s">
        <v>266</v>
      </c>
      <c r="E101" s="6"/>
      <c r="F101" s="11"/>
      <c r="G101" s="11"/>
      <c r="H101" t="s">
        <v>225</v>
      </c>
      <c r="I101" s="11" t="s">
        <v>0</v>
      </c>
      <c r="J101" s="9">
        <v>1</v>
      </c>
      <c r="L101" s="1"/>
    </row>
    <row r="102" spans="1:12" ht="42.75" x14ac:dyDescent="0.25">
      <c r="A102" s="11" t="s">
        <v>160</v>
      </c>
      <c r="B102" s="15" t="s">
        <v>344</v>
      </c>
      <c r="C102" s="11"/>
      <c r="D102" s="11" t="s">
        <v>319</v>
      </c>
      <c r="E102" s="11"/>
      <c r="F102" s="11"/>
      <c r="G102" s="11"/>
      <c r="H102" t="s">
        <v>226</v>
      </c>
      <c r="I102" s="11" t="s">
        <v>0</v>
      </c>
      <c r="J102" s="9">
        <v>30</v>
      </c>
      <c r="L102" s="1"/>
    </row>
    <row r="103" spans="1:12" ht="14.25" x14ac:dyDescent="0.25">
      <c r="A103" s="11" t="s">
        <v>161</v>
      </c>
      <c r="B103" s="11" t="s">
        <v>162</v>
      </c>
      <c r="C103" s="11"/>
      <c r="D103" s="11" t="s">
        <v>86</v>
      </c>
      <c r="E103" s="11"/>
      <c r="F103" s="11"/>
      <c r="G103" s="11"/>
      <c r="H103" t="s">
        <v>227</v>
      </c>
      <c r="I103" s="11" t="s">
        <v>0</v>
      </c>
      <c r="J103" s="9">
        <v>23</v>
      </c>
      <c r="L103" s="1"/>
    </row>
    <row r="104" spans="1:12" ht="14.25" x14ac:dyDescent="0.25">
      <c r="A104" s="11" t="s">
        <v>163</v>
      </c>
      <c r="B104" s="11" t="s">
        <v>164</v>
      </c>
      <c r="C104" s="11"/>
      <c r="D104" s="11" t="s">
        <v>320</v>
      </c>
      <c r="E104" s="11"/>
      <c r="F104" s="11"/>
      <c r="G104" s="11"/>
      <c r="H104" t="s">
        <v>228</v>
      </c>
      <c r="I104" s="11" t="s">
        <v>0</v>
      </c>
      <c r="J104" s="9">
        <v>2</v>
      </c>
      <c r="L104" s="1"/>
    </row>
    <row r="105" spans="1:12" ht="14.25" x14ac:dyDescent="0.25">
      <c r="A105" s="11" t="s">
        <v>165</v>
      </c>
      <c r="B105" s="11" t="s">
        <v>166</v>
      </c>
      <c r="C105" s="11"/>
      <c r="D105" s="11" t="s">
        <v>321</v>
      </c>
      <c r="E105" s="11"/>
      <c r="F105" s="11"/>
      <c r="G105" s="11"/>
      <c r="H105" t="s">
        <v>207</v>
      </c>
      <c r="I105" s="11" t="s">
        <v>0</v>
      </c>
      <c r="J105" s="9">
        <v>17</v>
      </c>
      <c r="L105" s="1"/>
    </row>
    <row r="106" spans="1:12" ht="14.25" x14ac:dyDescent="0.25">
      <c r="A106" s="11" t="s">
        <v>167</v>
      </c>
      <c r="B106" s="11" t="s">
        <v>168</v>
      </c>
      <c r="C106" s="11"/>
      <c r="D106" s="11" t="s">
        <v>86</v>
      </c>
      <c r="E106" s="11"/>
      <c r="F106" s="11"/>
      <c r="G106" s="11"/>
      <c r="H106" t="s">
        <v>229</v>
      </c>
      <c r="I106" s="11" t="s">
        <v>0</v>
      </c>
      <c r="J106" s="9">
        <v>25</v>
      </c>
      <c r="L106" s="1"/>
    </row>
    <row r="107" spans="1:12" ht="42.75" x14ac:dyDescent="0.25">
      <c r="A107" s="11" t="s">
        <v>169</v>
      </c>
      <c r="B107" s="15" t="s">
        <v>345</v>
      </c>
      <c r="C107" s="11"/>
      <c r="D107" s="11" t="s">
        <v>16</v>
      </c>
      <c r="E107" s="11"/>
      <c r="F107" s="11"/>
      <c r="G107" s="11"/>
      <c r="H107" t="s">
        <v>230</v>
      </c>
      <c r="I107" s="11" t="s">
        <v>0</v>
      </c>
      <c r="J107" s="9">
        <v>1</v>
      </c>
      <c r="L107" s="1"/>
    </row>
    <row r="108" spans="1:12" ht="14.25" x14ac:dyDescent="0.25">
      <c r="A108" s="11" t="s">
        <v>170</v>
      </c>
      <c r="B108" s="11" t="s">
        <v>171</v>
      </c>
      <c r="C108" s="11"/>
      <c r="D108" s="6" t="s">
        <v>322</v>
      </c>
      <c r="E108" s="6"/>
      <c r="F108" s="11"/>
      <c r="G108" s="11"/>
      <c r="H108" t="s">
        <v>204</v>
      </c>
      <c r="I108" s="11" t="s">
        <v>0</v>
      </c>
      <c r="J108" s="9">
        <v>5</v>
      </c>
      <c r="L108" s="1"/>
    </row>
    <row r="109" spans="1:12" ht="28.5" x14ac:dyDescent="0.25">
      <c r="A109" s="11" t="s">
        <v>172</v>
      </c>
      <c r="B109" s="15" t="s">
        <v>337</v>
      </c>
      <c r="C109" s="11"/>
      <c r="D109" s="11" t="s">
        <v>266</v>
      </c>
      <c r="E109" s="11"/>
      <c r="F109" s="11"/>
      <c r="G109" s="11"/>
      <c r="H109" t="s">
        <v>204</v>
      </c>
      <c r="I109" s="11" t="s">
        <v>0</v>
      </c>
      <c r="J109" s="9">
        <v>10</v>
      </c>
      <c r="L109" s="1"/>
    </row>
    <row r="110" spans="1:12" ht="28.5" x14ac:dyDescent="0.25">
      <c r="A110" s="11" t="s">
        <v>173</v>
      </c>
      <c r="B110" s="15" t="s">
        <v>346</v>
      </c>
      <c r="C110" s="11"/>
      <c r="D110" s="12"/>
      <c r="E110" s="12"/>
      <c r="F110" s="11"/>
      <c r="G110" s="11"/>
      <c r="H110" t="s">
        <v>204</v>
      </c>
      <c r="I110" s="11" t="s">
        <v>0</v>
      </c>
      <c r="J110" s="9">
        <v>3</v>
      </c>
      <c r="L110" s="1"/>
    </row>
    <row r="111" spans="1:12" ht="28.5" x14ac:dyDescent="0.25">
      <c r="A111" s="11" t="s">
        <v>174</v>
      </c>
      <c r="B111" s="15" t="s">
        <v>347</v>
      </c>
      <c r="C111" s="11"/>
      <c r="D111" s="11"/>
      <c r="E111" s="11"/>
      <c r="F111" s="11"/>
      <c r="G111" s="11"/>
      <c r="H111" t="s">
        <v>204</v>
      </c>
      <c r="I111" s="11" t="s">
        <v>0</v>
      </c>
      <c r="J111" s="9">
        <v>2</v>
      </c>
      <c r="L111" s="1"/>
    </row>
    <row r="112" spans="1:12" ht="14.25" x14ac:dyDescent="0.25">
      <c r="A112" s="11" t="s">
        <v>175</v>
      </c>
      <c r="B112" s="11" t="s">
        <v>176</v>
      </c>
      <c r="C112" s="11"/>
      <c r="D112" s="11" t="s">
        <v>15</v>
      </c>
      <c r="E112" s="11"/>
      <c r="F112" s="11"/>
      <c r="G112" s="11"/>
      <c r="H112" t="s">
        <v>231</v>
      </c>
      <c r="I112" s="11" t="s">
        <v>0</v>
      </c>
      <c r="J112" s="9">
        <v>14</v>
      </c>
      <c r="L112" s="1"/>
    </row>
    <row r="113" spans="1:12" ht="28.5" x14ac:dyDescent="0.25">
      <c r="A113" s="11" t="s">
        <v>177</v>
      </c>
      <c r="B113" s="15" t="s">
        <v>336</v>
      </c>
      <c r="C113" s="11"/>
      <c r="D113" s="11" t="s">
        <v>323</v>
      </c>
      <c r="E113" s="11"/>
      <c r="F113" s="11"/>
      <c r="G113" s="11"/>
      <c r="H113" t="s">
        <v>232</v>
      </c>
      <c r="I113" s="11" t="s">
        <v>0</v>
      </c>
      <c r="J113" s="9">
        <v>20</v>
      </c>
      <c r="L113" s="1"/>
    </row>
    <row r="114" spans="1:12" ht="14.25" x14ac:dyDescent="0.25">
      <c r="A114" s="11" t="s">
        <v>178</v>
      </c>
      <c r="B114" s="11" t="s">
        <v>179</v>
      </c>
      <c r="C114" s="11"/>
      <c r="D114" s="11" t="s">
        <v>324</v>
      </c>
      <c r="E114" s="11"/>
      <c r="F114" s="11"/>
      <c r="G114" s="11"/>
      <c r="H114" t="s">
        <v>233</v>
      </c>
      <c r="I114" s="11" t="s">
        <v>0</v>
      </c>
      <c r="J114" s="9">
        <v>2</v>
      </c>
      <c r="L114" s="1"/>
    </row>
    <row r="115" spans="1:12" ht="14.25" x14ac:dyDescent="0.25">
      <c r="A115" s="11" t="s">
        <v>180</v>
      </c>
      <c r="B115" s="11" t="s">
        <v>181</v>
      </c>
      <c r="C115" s="11"/>
      <c r="D115" s="11" t="s">
        <v>15</v>
      </c>
      <c r="E115" s="11"/>
      <c r="F115" s="11"/>
      <c r="G115" s="11"/>
      <c r="H115" t="s">
        <v>234</v>
      </c>
      <c r="I115" s="11" t="s">
        <v>0</v>
      </c>
      <c r="J115" s="9">
        <v>26</v>
      </c>
      <c r="L115" s="1"/>
    </row>
    <row r="116" spans="1:12" ht="28.5" x14ac:dyDescent="0.25">
      <c r="A116" s="11" t="s">
        <v>182</v>
      </c>
      <c r="B116" s="15" t="s">
        <v>335</v>
      </c>
      <c r="C116" s="11"/>
      <c r="D116" s="11" t="s">
        <v>325</v>
      </c>
      <c r="E116" s="11"/>
      <c r="F116" s="11"/>
      <c r="G116" s="11"/>
      <c r="H116" t="s">
        <v>204</v>
      </c>
      <c r="I116" s="11" t="s">
        <v>0</v>
      </c>
      <c r="J116" s="9">
        <v>5</v>
      </c>
      <c r="L116" s="1"/>
    </row>
    <row r="117" spans="1:12" ht="14.25" x14ac:dyDescent="0.25">
      <c r="A117" s="11" t="s">
        <v>183</v>
      </c>
      <c r="B117" s="11" t="s">
        <v>184</v>
      </c>
      <c r="C117" s="11"/>
      <c r="D117" s="11" t="s">
        <v>68</v>
      </c>
      <c r="E117" s="11"/>
      <c r="F117" s="11"/>
      <c r="G117" s="11"/>
      <c r="H117" t="s">
        <v>235</v>
      </c>
      <c r="I117" s="11" t="s">
        <v>0</v>
      </c>
      <c r="J117" s="9">
        <v>1</v>
      </c>
      <c r="L117" s="1"/>
    </row>
    <row r="118" spans="1:12" ht="14.25" x14ac:dyDescent="0.25">
      <c r="A118" s="11" t="s">
        <v>185</v>
      </c>
      <c r="B118" s="11" t="s">
        <v>326</v>
      </c>
      <c r="C118" s="11"/>
      <c r="D118" s="11" t="s">
        <v>103</v>
      </c>
      <c r="E118" s="11"/>
      <c r="F118" s="11"/>
      <c r="G118" s="11"/>
      <c r="H118" t="s">
        <v>236</v>
      </c>
      <c r="I118" s="11" t="s">
        <v>0</v>
      </c>
      <c r="J118" s="9">
        <v>16</v>
      </c>
      <c r="L118" s="1"/>
    </row>
    <row r="119" spans="1:12" ht="14.25" x14ac:dyDescent="0.25">
      <c r="A119" s="11" t="s">
        <v>186</v>
      </c>
      <c r="B119" s="11" t="s">
        <v>187</v>
      </c>
      <c r="C119" s="11"/>
      <c r="D119" s="11" t="s">
        <v>67</v>
      </c>
      <c r="E119" s="11"/>
      <c r="F119" s="11"/>
      <c r="G119" s="11"/>
      <c r="H119" t="s">
        <v>236</v>
      </c>
      <c r="I119" s="11" t="s">
        <v>0</v>
      </c>
      <c r="J119" s="9">
        <v>10</v>
      </c>
      <c r="L119" s="1"/>
    </row>
    <row r="120" spans="1:12" ht="14.25" x14ac:dyDescent="0.25">
      <c r="A120" s="11" t="s">
        <v>188</v>
      </c>
      <c r="B120" s="11" t="s">
        <v>189</v>
      </c>
      <c r="C120" s="11"/>
      <c r="D120" s="11"/>
      <c r="E120" s="11"/>
      <c r="F120" s="11"/>
      <c r="G120" s="11"/>
      <c r="H120" t="s">
        <v>237</v>
      </c>
      <c r="I120" s="11" t="s">
        <v>0</v>
      </c>
      <c r="J120" s="9">
        <v>1</v>
      </c>
      <c r="L120" s="1"/>
    </row>
    <row r="121" spans="1:12" ht="14.25" x14ac:dyDescent="0.25">
      <c r="A121" s="11" t="s">
        <v>190</v>
      </c>
      <c r="B121" s="11" t="s">
        <v>68</v>
      </c>
      <c r="C121" s="11"/>
      <c r="D121" s="11" t="s">
        <v>68</v>
      </c>
      <c r="E121" s="11"/>
      <c r="F121" s="11"/>
      <c r="G121" s="11"/>
      <c r="H121" t="s">
        <v>204</v>
      </c>
      <c r="I121" s="11" t="s">
        <v>0</v>
      </c>
      <c r="J121" s="9">
        <v>4</v>
      </c>
      <c r="L121" s="1"/>
    </row>
    <row r="122" spans="1:12" ht="14.25" x14ac:dyDescent="0.25">
      <c r="A122" s="11" t="s">
        <v>191</v>
      </c>
      <c r="B122" s="11" t="s">
        <v>192</v>
      </c>
      <c r="C122" s="11"/>
      <c r="D122" s="11" t="s">
        <v>192</v>
      </c>
      <c r="E122" s="11"/>
      <c r="F122" s="11"/>
      <c r="G122" s="11"/>
      <c r="H122" t="s">
        <v>204</v>
      </c>
      <c r="I122" s="11" t="s">
        <v>0</v>
      </c>
      <c r="J122" s="9">
        <v>4</v>
      </c>
      <c r="L122" s="1"/>
    </row>
    <row r="123" spans="1:12" ht="14.25" x14ac:dyDescent="0.25">
      <c r="A123" s="11" t="s">
        <v>193</v>
      </c>
      <c r="B123" s="11" t="s">
        <v>194</v>
      </c>
      <c r="C123" s="11"/>
      <c r="D123" s="11" t="s">
        <v>194</v>
      </c>
      <c r="E123" s="11"/>
      <c r="F123" s="11"/>
      <c r="G123" s="11"/>
      <c r="H123" t="s">
        <v>204</v>
      </c>
      <c r="I123" s="11" t="s">
        <v>0</v>
      </c>
      <c r="J123" s="9">
        <v>6</v>
      </c>
      <c r="L123" s="1"/>
    </row>
    <row r="124" spans="1:12" ht="14.25" x14ac:dyDescent="0.25">
      <c r="A124" s="11" t="s">
        <v>195</v>
      </c>
      <c r="B124" s="11" t="s">
        <v>196</v>
      </c>
      <c r="C124" s="11"/>
      <c r="D124" s="11"/>
      <c r="E124" s="11"/>
      <c r="F124" s="11"/>
      <c r="G124" s="11"/>
      <c r="H124" t="s">
        <v>204</v>
      </c>
      <c r="I124" s="11" t="s">
        <v>0</v>
      </c>
      <c r="J124" s="9"/>
      <c r="L124" s="1"/>
    </row>
    <row r="125" spans="1:12" ht="14.25" x14ac:dyDescent="0.25">
      <c r="A125" s="11" t="s">
        <v>197</v>
      </c>
      <c r="B125" s="11" t="s">
        <v>198</v>
      </c>
      <c r="C125" s="11"/>
      <c r="D125" s="11"/>
      <c r="E125" s="11"/>
      <c r="F125" s="11"/>
      <c r="G125" s="11"/>
      <c r="H125" t="s">
        <v>204</v>
      </c>
      <c r="I125" s="11" t="s">
        <v>0</v>
      </c>
      <c r="J125" s="9">
        <v>5</v>
      </c>
      <c r="L125" s="1"/>
    </row>
    <row r="126" spans="1:12" ht="28.5" x14ac:dyDescent="0.25">
      <c r="A126" s="11" t="s">
        <v>199</v>
      </c>
      <c r="B126" s="15" t="s">
        <v>348</v>
      </c>
      <c r="C126" s="11"/>
      <c r="D126" s="11" t="s">
        <v>266</v>
      </c>
      <c r="E126" s="11"/>
      <c r="F126" s="11"/>
      <c r="G126" s="11"/>
      <c r="H126" t="s">
        <v>204</v>
      </c>
      <c r="I126" s="11" t="s">
        <v>0</v>
      </c>
      <c r="J126" s="9">
        <v>2</v>
      </c>
      <c r="L126" s="1"/>
    </row>
    <row r="127" spans="1:12" ht="28.5" x14ac:dyDescent="0.25">
      <c r="A127" s="11" t="s">
        <v>200</v>
      </c>
      <c r="B127" s="15" t="s">
        <v>349</v>
      </c>
      <c r="C127" s="11"/>
      <c r="D127" s="11" t="s">
        <v>266</v>
      </c>
      <c r="E127" s="11"/>
      <c r="F127" s="11"/>
      <c r="G127" s="11"/>
      <c r="H127" t="s">
        <v>204</v>
      </c>
      <c r="I127" s="11" t="s">
        <v>0</v>
      </c>
      <c r="J127" s="9">
        <v>8</v>
      </c>
      <c r="L127" s="1"/>
    </row>
    <row r="128" spans="1:12" ht="42.75" x14ac:dyDescent="0.25">
      <c r="A128" s="11" t="s">
        <v>201</v>
      </c>
      <c r="B128" s="15" t="s">
        <v>334</v>
      </c>
      <c r="C128" s="11"/>
      <c r="D128" s="11" t="s">
        <v>325</v>
      </c>
      <c r="E128" s="11"/>
      <c r="F128" s="11"/>
      <c r="G128" s="11"/>
      <c r="H128" t="s">
        <v>204</v>
      </c>
      <c r="I128" s="11" t="s">
        <v>0</v>
      </c>
      <c r="J128" s="9">
        <v>4</v>
      </c>
      <c r="L128" s="1"/>
    </row>
    <row r="129" spans="1:12" ht="14.25" x14ac:dyDescent="0.25">
      <c r="A129" s="11" t="s">
        <v>202</v>
      </c>
      <c r="B129" s="11" t="s">
        <v>327</v>
      </c>
      <c r="C129" s="11"/>
      <c r="D129" s="11"/>
      <c r="E129" s="11"/>
      <c r="F129" s="11"/>
      <c r="G129" s="11"/>
      <c r="H129" t="s">
        <v>204</v>
      </c>
      <c r="I129" s="11" t="s">
        <v>0</v>
      </c>
      <c r="J129" s="9"/>
      <c r="L129" s="1"/>
    </row>
    <row r="130" spans="1:12" x14ac:dyDescent="0.2">
      <c r="L130" s="1"/>
    </row>
    <row r="131" spans="1:12" x14ac:dyDescent="0.2">
      <c r="L131" s="1"/>
    </row>
    <row r="132" spans="1:12" x14ac:dyDescent="0.2">
      <c r="L132" s="1"/>
    </row>
    <row r="133" spans="1:12" x14ac:dyDescent="0.2">
      <c r="L133" s="1"/>
    </row>
    <row r="134" spans="1:12" x14ac:dyDescent="0.2">
      <c r="L134" s="1"/>
    </row>
    <row r="135" spans="1:12" x14ac:dyDescent="0.2">
      <c r="L135" s="1"/>
    </row>
    <row r="136" spans="1:12" x14ac:dyDescent="0.2">
      <c r="L136" s="1"/>
    </row>
    <row r="137" spans="1:12" x14ac:dyDescent="0.2">
      <c r="L137" s="1"/>
    </row>
    <row r="138" spans="1:12" x14ac:dyDescent="0.2">
      <c r="L138" s="1"/>
    </row>
    <row r="139" spans="1:12" x14ac:dyDescent="0.2">
      <c r="L139" s="1"/>
    </row>
    <row r="140" spans="1:12" x14ac:dyDescent="0.2">
      <c r="L140" s="1"/>
    </row>
    <row r="141" spans="1:12" x14ac:dyDescent="0.2">
      <c r="L141" s="1"/>
    </row>
    <row r="142" spans="1:12" x14ac:dyDescent="0.2">
      <c r="L142" s="1"/>
    </row>
    <row r="143" spans="1:12" x14ac:dyDescent="0.2">
      <c r="L143" s="1"/>
    </row>
    <row r="144" spans="1:12" x14ac:dyDescent="0.2">
      <c r="K144"/>
      <c r="L144" s="1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fonds_sng_bpun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2026-06-19T13:02:03Z</dcterms:modified>
</cp:coreProperties>
</file>