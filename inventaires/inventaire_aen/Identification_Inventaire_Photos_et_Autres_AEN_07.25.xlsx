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raiku\Documents\Memoire_RM\inventaires\inventaire_aen\"/>
    </mc:Choice>
  </mc:AlternateContent>
  <xr:revisionPtr revIDLastSave="0" documentId="13_ncr:1_{15167134-B29A-4BAB-AF0A-3C884B68BE91}" xr6:coauthVersionLast="47" xr6:coauthVersionMax="47" xr10:uidLastSave="{00000000-0000-0000-0000-000000000000}"/>
  <bookViews>
    <workbookView xWindow="19095" yWindow="0" windowWidth="19410" windowHeight="20985" xr2:uid="{00000000-000D-0000-FFFF-FFFF00000000}"/>
  </bookViews>
  <sheets>
    <sheet name="Feuil1" sheetId="1" r:id="rId1"/>
  </sheets>
  <definedNames>
    <definedName name="_ftn1" localSheetId="0">Feuil1!#REF!</definedName>
    <definedName name="_ftnref1" localSheetId="0">Feuil1!#REF!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6" i="1" l="1"/>
  <c r="O86" i="1"/>
  <c r="N86" i="1"/>
  <c r="M86" i="1" l="1"/>
  <c r="L86" i="1"/>
  <c r="K86" i="1"/>
  <c r="J86" i="1"/>
</calcChain>
</file>

<file path=xl/sharedStrings.xml><?xml version="1.0" encoding="utf-8"?>
<sst xmlns="http://schemas.openxmlformats.org/spreadsheetml/2006/main" count="598" uniqueCount="437">
  <si>
    <t>Contenu</t>
  </si>
  <si>
    <t xml:space="preserve">Volume </t>
  </si>
  <si>
    <t>Lieux de conservation</t>
  </si>
  <si>
    <t>Château</t>
  </si>
  <si>
    <t>Type d'image/photo</t>
  </si>
  <si>
    <t>Type de fonds</t>
  </si>
  <si>
    <t>?</t>
  </si>
  <si>
    <t>Sté navigation</t>
  </si>
  <si>
    <t>AEN-2018-A37 
Château, 3e, tr. 751</t>
  </si>
  <si>
    <t>Fonds de Perrot-Dupasquier</t>
  </si>
  <si>
    <t>In Daniel COURVOISIER</t>
  </si>
  <si>
    <t>Dates</t>
  </si>
  <si>
    <t>FAN</t>
  </si>
  <si>
    <t xml:space="preserve">AEN-2017-A15/  au 4e tr. 1034 (tab. 5-7)-1035 (tab. 1-5) </t>
  </si>
  <si>
    <t>6 photographies montées sur carton probablement fête fédérale de tir à Neuchâtel 1898</t>
  </si>
  <si>
    <t>AEN-2015-A8
3e étage, travée 813</t>
  </si>
  <si>
    <t>paraétatique?</t>
  </si>
  <si>
    <t>photographie &amp; daguerréotypes &amp; carte postale</t>
  </si>
  <si>
    <t>1827-1968</t>
  </si>
  <si>
    <t xml:space="preserve">albums de famille, photographies (dont 4 daguerréotypes) 1 carte postales
Beaucoup de portrait. Bien conservé. </t>
  </si>
  <si>
    <t xml:space="preserve">
AEN-2018-A7 ;
Château, 2e étage; tr. 388-389</t>
  </si>
  <si>
    <t>Château, 2e, tr. 417, tabl. 1-4</t>
  </si>
  <si>
    <t>1985-2004</t>
  </si>
  <si>
    <t>photographies couleurs, sépia, noir et blanc, planche contacts, négatifs</t>
  </si>
  <si>
    <t xml:space="preserve">Les photos traitent de plusieurs sujets : hospitalisation, personnes en situation de handicap moteur très avancé, photo de groupe, portraits adultes, enfants.
On y trouve des photos en noir et blanc, en couleur, sépia également. Il y a des négatifs aussi et des planches-contacts. </t>
  </si>
  <si>
    <t>In famille COURVOISIER</t>
  </si>
  <si>
    <t>In louis et fritz COURVOISIER</t>
  </si>
  <si>
    <t>Château, 2ème étage, tr. 360, tabl. 5 et tr. 361, tabl. 1-3</t>
  </si>
  <si>
    <t>Château, 3e, tr. 638, tab. 1-2</t>
  </si>
  <si>
    <t>1890-1920</t>
  </si>
  <si>
    <t>37 photos</t>
  </si>
  <si>
    <t>noir et blanc</t>
  </si>
  <si>
    <t>Quelques photos éparpillées dans les dossiers : portraits, famille</t>
  </si>
  <si>
    <t>Sicodor</t>
  </si>
  <si>
    <r>
      <t>2</t>
    </r>
    <r>
      <rPr>
        <vertAlign val="superscript"/>
        <sz val="10"/>
        <rFont val="Arial"/>
        <family val="2"/>
      </rPr>
      <t xml:space="preserve">e </t>
    </r>
    <r>
      <rPr>
        <sz val="10"/>
        <rFont val="Arial"/>
        <family val="2"/>
      </rPr>
      <t xml:space="preserve"> 542-544/ 2021-A16</t>
    </r>
  </si>
  <si>
    <t>1sst-123</t>
  </si>
  <si>
    <t>Château, 2e, tr. 529-538, 544 (meubles à tiroirs en 532, 536 et 544))</t>
  </si>
  <si>
    <t>Police forensique</t>
  </si>
  <si>
    <t>104 photos</t>
  </si>
  <si>
    <t>photographies noir et blanc, couleur</t>
  </si>
  <si>
    <t>1950-1977</t>
  </si>
  <si>
    <t>Photographies d'objets, d'ouvriers, de vaiselles</t>
  </si>
  <si>
    <t>AEN-2025-10
Château, 2è, tr. 413</t>
  </si>
  <si>
    <t>Échantillon de "fiches mères" commissariat forensique
Aucune photo trouvé</t>
  </si>
  <si>
    <t>Environ 375 photos dont 4 daguerreotypes</t>
  </si>
  <si>
    <t>AEN fonds privés (familles)</t>
  </si>
  <si>
    <t>Château,GC3, tab 7-44; dès no356: 2e tr 434- ; horsF :GC tr.1492</t>
  </si>
  <si>
    <t>Coulon-157
-349/1
357/77 et 78
-367/36
367/66 et 67</t>
  </si>
  <si>
    <t>photographe noir et blanc, portrait, groupe</t>
  </si>
  <si>
    <t>Fin XIX eme - Début XXèeme siècle</t>
  </si>
  <si>
    <t>2ème étage : 290 photographies et 200 petites photos
CG3 : 200 photos, 80 négatifs
Environ 690 photos et 80 négatifs</t>
  </si>
  <si>
    <t>photographies couleur</t>
  </si>
  <si>
    <t>Photographies en couleur de chantier et bâtiment en construction. Les images sont regroupées par trois ou quatre sur une page d'un classeur et sous plastique</t>
  </si>
  <si>
    <t>Etage</t>
  </si>
  <si>
    <t>Secrétariat général du Département de l'éducation et de la famille</t>
  </si>
  <si>
    <t>Début des documents en 1939, mais il y a des photographies de collèges du canton plus anciennes, début XXe.</t>
  </si>
  <si>
    <t>Couvet</t>
  </si>
  <si>
    <t xml:space="preserve">Addiction Neuchâtel </t>
  </si>
  <si>
    <t>AEN-2024-39
Château / Entrée du 4e</t>
  </si>
  <si>
    <t>AEN-2017-19
Couvet, N39-N40</t>
  </si>
  <si>
    <t>Sali</t>
  </si>
  <si>
    <t>Couvet E20-E21
AEN-2023-31</t>
  </si>
  <si>
    <t>sene</t>
  </si>
  <si>
    <t xml:space="preserve">AEN-2024-12
Léopold-Robert 146, travée 8, étagères 58-60
</t>
  </si>
  <si>
    <t>sher</t>
  </si>
  <si>
    <t>Château, 4e, travées 1032 à 1034</t>
  </si>
  <si>
    <t>Léopold-Robert</t>
  </si>
  <si>
    <t>fonds publics</t>
  </si>
  <si>
    <t>5CHA- (Chancellerie)</t>
  </si>
  <si>
    <t>9CHA- (Chancellerie)</t>
  </si>
  <si>
    <t>1INT-1597 (Intérieur)</t>
  </si>
  <si>
    <t>3INT-10 (intérieur)</t>
  </si>
  <si>
    <t xml:space="preserve">Centenaire de la République ;
328 photos du cortège ; 33 photos des cérémonies du 1er mars; 48 photos des expositions du Centenaire; 16 photos du Festival; 87 photos du monument du Locle; 5 photos du concours hippique; négatifs </t>
  </si>
  <si>
    <t>Sanatorium de Leysin: livres souvenirs, 1 grand album de photographies, avec historique, vers 1929</t>
  </si>
  <si>
    <t>Album des fêtes du Cinquantenaire de la République Neuchâteloise 1848-1898, A. Monbaron phot. (album de 68 photographies originales)</t>
  </si>
  <si>
    <t>1959-1983</t>
  </si>
  <si>
    <t>vers 1929</t>
  </si>
  <si>
    <t>Estimation: 500 positifs; 100 négatifs; noir blanc</t>
  </si>
  <si>
    <t>TP (travaux publiques)</t>
  </si>
  <si>
    <t>Nombreuses photographies disséminées dans les dossiers auxquels elles sont liées. (dont Monuments et sites, p. ex 4TP-8BIS : planches château colombier; années 1910-20?)</t>
  </si>
  <si>
    <t xml:space="preserve">Fichier étudiants. Fiches d'immatriculations contiennent des photos dès 1934; </t>
  </si>
  <si>
    <t>1934-1940</t>
  </si>
  <si>
    <t>photos passeport, noir blanc</t>
  </si>
  <si>
    <t>Lycee ddr</t>
  </si>
  <si>
    <t>Plans, photos et correspondance concernant le Gymnase cantonal / Lycée Denis de Rougement,
1 boite</t>
  </si>
  <si>
    <t>AEN-2023-34
Maillefer</t>
  </si>
  <si>
    <t>Maillefer</t>
  </si>
  <si>
    <t>Fondation Sully Lambelet</t>
  </si>
  <si>
    <t>Quelques photos</t>
  </si>
  <si>
    <t>1962-96</t>
  </si>
  <si>
    <t>AEN-2016-A18
/ COUVET / cnip E5</t>
  </si>
  <si>
    <t>privé</t>
  </si>
  <si>
    <t>agassiz</t>
  </si>
  <si>
    <t>Château, 3e, tr. 638-639</t>
  </si>
  <si>
    <t>Château, Grand Compactus, GC1, tab. 1-17</t>
  </si>
  <si>
    <t>fonds privés (familles)</t>
  </si>
  <si>
    <t>Fonds Anna Bonnet</t>
  </si>
  <si>
    <t>Photographe: Anna Bonnet (1845-1914). 
Membre du Photo Club.
Vues d'Auvernier et du Littoral; travaux de vendanges.</t>
  </si>
  <si>
    <t>1897-1910</t>
  </si>
  <si>
    <t>Publiées dans Quartier-La-Tente (pour Auvernier).</t>
  </si>
  <si>
    <t xml:space="preserve">Jeanne Descombes </t>
  </si>
  <si>
    <t>Paysages, vues, surtout du bas du canton, quelques portraits. Jeanne Descombes membre du Photo Club et éditrice de cartes postales.</t>
  </si>
  <si>
    <t>env 1893 - 1914</t>
  </si>
  <si>
    <t>env 220 tirages d'époque; 1 album (cf aussi 50 cartes postales éditées par la photographe, "édition J Descombes" d'après ses propres photos) pas de négatifs.</t>
  </si>
  <si>
    <t>Fonds Brutsch</t>
  </si>
  <si>
    <t>1986-1993</t>
  </si>
  <si>
    <t>In fonds de rougemont</t>
  </si>
  <si>
    <t>terrisse</t>
  </si>
  <si>
    <t>5terrisse-5 photos de famille</t>
  </si>
  <si>
    <t>Château, 3ème étage, tr. 709 et 710</t>
  </si>
  <si>
    <t>In: MEURON pierre</t>
  </si>
  <si>
    <t xml:space="preserve"> fonds privés (familles)</t>
  </si>
  <si>
    <t>In fonds Elise Kiener</t>
  </si>
  <si>
    <t xml:space="preserve">Fin 19e –début 20e </t>
  </si>
  <si>
    <t>Fonds aéro club blécherette ?/ kammacher</t>
  </si>
  <si>
    <t>Photos aériennes canton NE</t>
  </si>
  <si>
    <t>1930-1962</t>
  </si>
  <si>
    <t xml:space="preserve"> 313 ; plaques de verre négatives ; </t>
  </si>
  <si>
    <t xml:space="preserve"> (originaux : Bureau LB) Scannées hte def (P4) P:\4 CLASSEMENT ET DESCRIPTION\43 FONDS D'ARCHIVES\432 ARCHIVES PRIVEES\432.1 ARCHIVES DE FAMILLES\KAMMACHER ALPHONSE\repros</t>
  </si>
  <si>
    <t>Fonds Baillod Muller</t>
  </si>
  <si>
    <t>À  la chaux de fonds (LR 146 local est)/  2025-A6</t>
  </si>
  <si>
    <t>tirages d'époque, album, cartes postales</t>
  </si>
  <si>
    <t>Négatifs (plaques de verre); 1092 pièces; pas de tirages.
.</t>
  </si>
  <si>
    <t xml:space="preserve">Négatif (plaques de verre), pièces
Un carnet de la main de Anna Bonnet contenant le détail de ses photographies: date/ lieu/ sujet/ avec commentaires. </t>
  </si>
  <si>
    <t>plaques de verre négatives</t>
  </si>
  <si>
    <t>AEN fonds privés (entreprises)</t>
  </si>
  <si>
    <t>Faillite sousa</t>
  </si>
  <si>
    <t>Correspondance, plans, photographies, PVs, litiges etc.</t>
  </si>
  <si>
    <t>La chaux de fonds</t>
  </si>
  <si>
    <t>Photos aériennes</t>
  </si>
  <si>
    <t>2e moitié 20e</t>
  </si>
  <si>
    <t>assoc</t>
  </si>
  <si>
    <t>zofingue</t>
  </si>
  <si>
    <t>Nos oiseaux</t>
  </si>
  <si>
    <t>Château, 3e, tr. 629, tab. 6, à tr. 630, tab. 4</t>
  </si>
  <si>
    <t>5CENAT-3 ; 5 cenat-5 ; 5 cenat-9</t>
  </si>
  <si>
    <t>Cercle national (voir aussi les dossiers autour)</t>
  </si>
  <si>
    <t>Château, GC 9, tabl. 37-45</t>
  </si>
  <si>
    <t>AEN collections</t>
  </si>
  <si>
    <t>Divers. Nombreuses vues de tout le canton. Album: " Activités scolaires et bâtiments des écoles du canton" (1922-1954). Fêtes des vendanges (années 1920-30)</t>
  </si>
  <si>
    <t>Estimation: 3000 positifs.</t>
  </si>
  <si>
    <t>Plaques de verre: repros docs d'archives</t>
  </si>
  <si>
    <t>Plaques de verre reproduisant des archives conservées aux AEN (surtout des archives seigneuriales)</t>
  </si>
  <si>
    <t>Estimation; 600 plaques de verre)</t>
  </si>
  <si>
    <t>Collection photographique*</t>
  </si>
  <si>
    <t>*Collection photographique. Répartie en 70 séries :
•	1PHO à 62PHO: les 62 communes du canton de Neuchâtel classées alphabétiquement (997 photographies, dont 368 pour la seule ville de Neuchâtel).
•	63PHO: Canton de NE (246 photographies). 
•	64PHO: Suisse (principalement les cantons voisins).
•	65PHO: Monde.
•	66PHO: Sociétés et associations (98 photographies).
•	67PHO: Familles et personnages (331 photographies).
•	68PHO: Objets (129 photographies).
•	69PHO: Manifestations et événements (365 photographies).
•	70PHO: Académie et Université (214 photographies).</t>
  </si>
  <si>
    <t>3ème - à traiter</t>
  </si>
  <si>
    <t>2ème - à traiter</t>
  </si>
  <si>
    <t>A consulter</t>
  </si>
  <si>
    <t>La chaux de fonds - à traiter</t>
  </si>
  <si>
    <t>4ème - à traiter</t>
  </si>
  <si>
    <t>GC - à traiter</t>
  </si>
  <si>
    <t>Couvet - à traiter</t>
  </si>
  <si>
    <t>Léopold-Robert - à traiter</t>
  </si>
  <si>
    <t>Maillefer - à traiter</t>
  </si>
  <si>
    <t>? - à traiter</t>
  </si>
  <si>
    <t>Remarques</t>
  </si>
  <si>
    <t>1987-1989</t>
  </si>
  <si>
    <t>1890 - 1920</t>
  </si>
  <si>
    <t>28 photos en noir et blanc, 1 daguérotype et 3 photo sur verre</t>
  </si>
  <si>
    <t>Portrait, photo type carte de visite, de maison, déco de maison bourgeoise</t>
  </si>
  <si>
    <t>Photo d'époqie fin XIX début Xxèeme. Portrait, famille et maison de la famille. Des photos sur verre et un daguérotype.</t>
  </si>
  <si>
    <t>1 carton de photo seulement ici : 
Château, 3e étage, travée 752</t>
  </si>
  <si>
    <t>Début XXème</t>
  </si>
  <si>
    <t xml:space="preserve">9 photos </t>
  </si>
  <si>
    <t>grand format, noir et blanc
Bateau remontant fleuve</t>
  </si>
  <si>
    <t xml:space="preserve">9 grands clichés collés sur carton -&gt; bateaux remontant fleuves </t>
  </si>
  <si>
    <t xml:space="preserve">82 photos </t>
  </si>
  <si>
    <t>divers formats</t>
  </si>
  <si>
    <t>6 photos sepia</t>
  </si>
  <si>
    <t xml:space="preserve">Photographies montés sur carton </t>
  </si>
  <si>
    <t>Notes courvoisier</t>
  </si>
  <si>
    <t>Château, 3ème, tr 704-706</t>
  </si>
  <si>
    <t>Fin du XIXème et début Xxème</t>
  </si>
  <si>
    <t>78 photos noir et blanc
330 cartes postales</t>
  </si>
  <si>
    <t>Noir et blanc tout format
carte postale vierge et d'autres sur le  maroc, bâtiment, portrait</t>
  </si>
  <si>
    <t>Photos et cartes postales diverses, sur le maroc, les portraits de famille, paysages</t>
  </si>
  <si>
    <t>1898 ?</t>
  </si>
  <si>
    <t>Photo noir et blanc grand format</t>
  </si>
  <si>
    <t>Argand</t>
  </si>
  <si>
    <t>1538 photos différents formats</t>
  </si>
  <si>
    <t>Famille borel</t>
  </si>
  <si>
    <t>1860-1920</t>
  </si>
  <si>
    <t>Photos : environ 902
Négatifs : environ 100
Plaque de verre : environ 283</t>
  </si>
  <si>
    <t>Photo noir et blanc tout type de format. Certaines ont des couleurs un peu effacés. Beaucoup de carte de visite.</t>
  </si>
  <si>
    <t>Fond très variées, plaque de verre, carte de visite, photo de groupe, personne, portraits, album, négatifs, cadre, photo au format grand, petit, etc.</t>
  </si>
  <si>
    <t>Photo noir et blanc, différents formats</t>
  </si>
  <si>
    <t>Photos noir et blanc avec comme sujet : des bâtiments, cathédrales, objets de déco, portraits</t>
  </si>
  <si>
    <t>Environ 54 plaques de verre
4 photographies
Environ 40 négatifs</t>
  </si>
  <si>
    <t>4 photographies grands formats noir et blanc
Négatifs et plaque de verre</t>
  </si>
  <si>
    <t xml:space="preserve">Beaucoup de plaque de verre protéger et de liasses d'enveloppes attachées ensemble contenant des négatifs. </t>
  </si>
  <si>
    <t>110 photographies noir et blanc mais en couleur également</t>
  </si>
  <si>
    <t xml:space="preserve">Noir et blanc et en couleur
</t>
  </si>
  <si>
    <t>Au moins les dossiers : 19 21 31 87 
Les photos portent sur les objets présents dans des salles de classe, des bâtiments et des plans de bâtiment</t>
  </si>
  <si>
    <t>1989 -1990</t>
  </si>
  <si>
    <t>4 237 photos</t>
  </si>
  <si>
    <t>Photographies couleur</t>
  </si>
  <si>
    <t>14 albums de photographies (années 80?)
Photo couleur, de groupes, de soirées, de voyages et paysages divers</t>
  </si>
  <si>
    <t xml:space="preserve">AEN-2022-27 ; 
Maillefer, tr. 24
</t>
  </si>
  <si>
    <t>Environ 1497 photos à 10 près + 120 négatifs</t>
  </si>
  <si>
    <t>6 photographiques grand format Noir et Blanc</t>
  </si>
  <si>
    <t>1938-2018</t>
  </si>
  <si>
    <t>AEN fonds publics</t>
  </si>
  <si>
    <t>la chaux de fond</t>
  </si>
  <si>
    <t>595 cartes postales</t>
  </si>
  <si>
    <t>association</t>
  </si>
  <si>
    <t>APRN 
Asso patriotiotique  Radicale</t>
  </si>
  <si>
    <t>5aprn-10 - Album photographique des membres</t>
  </si>
  <si>
    <t>Clottu cornaux</t>
  </si>
  <si>
    <t>Château 2e étage travée 421</t>
  </si>
  <si>
    <t>CPN
Hospice de perreux</t>
  </si>
  <si>
    <t>10CNP-122 - Photos: Album photo des bâtiments vides (1984)
10CNP-123 - 
Album photo des ateliers. (s.d.)</t>
  </si>
  <si>
    <t>Léopold-Robert 146, Tr 12, tab. 1-5</t>
  </si>
  <si>
    <t>2 int-811, 812, 813</t>
  </si>
  <si>
    <t>Château 4e tr. 1075-1099 + 1015</t>
  </si>
  <si>
    <t>JUST ?</t>
  </si>
  <si>
    <t>Photos passeport dans demandes de naturalisations</t>
  </si>
  <si>
    <t>2TP</t>
  </si>
  <si>
    <t>Nombreuses photos disséminées dans  section « monuments et sites »</t>
  </si>
  <si>
    <t>No de versement : 2019-10</t>
  </si>
  <si>
    <t>Chancellerie ; Cartes postales adressées entre eux par les membres de la Chancellerie + Conseil d'État</t>
  </si>
  <si>
    <t>Ce sont les cartes postales comptées par Yaelle</t>
  </si>
  <si>
    <t>James Guillaume</t>
  </si>
  <si>
    <t xml:space="preserve">Cet album se compose de 23 photographies </t>
  </si>
  <si>
    <t>Georges emile Guillaume</t>
  </si>
  <si>
    <t>Album 
4GUILLAUME GEORGES-EMILE-1
Iconographie: un album de photographies à Rosevilla, portraits de pensionnaires et 
d'hôtes, 1905-1906. Un autre album se trouve dans la collection iconographique.</t>
  </si>
  <si>
    <t>1905-1906</t>
  </si>
  <si>
    <t>Château, 3e, tr. 628 tab. 2-3</t>
  </si>
  <si>
    <t>Maurice tripet</t>
  </si>
  <si>
    <t>Album.  
Collection, sceaux, vitraux, photos et volumes.</t>
  </si>
  <si>
    <t>Château GC tr.1555</t>
  </si>
  <si>
    <t>Jacques Petitpierre</t>
  </si>
  <si>
    <t>Château 3e étage travée 720-722 + tr. 733</t>
  </si>
  <si>
    <t>grellet</t>
  </si>
  <si>
    <t>(voir inventaire croché dans la fiche du fonds ; flora)</t>
  </si>
  <si>
    <t>Château, 3e, tr. 637, tab. 3-6</t>
  </si>
  <si>
    <t>Mauler</t>
  </si>
  <si>
    <t>VAC</t>
  </si>
  <si>
    <t>Voir dossiers (nos de recolement) : 4, 9, 10, 17, 20, 22, 23 25</t>
  </si>
  <si>
    <t>AEN fonds privés (entreprise)</t>
  </si>
  <si>
    <t>Couvet, W21 et 3 tiroirs à plans</t>
  </si>
  <si>
    <t>Pizzera</t>
  </si>
  <si>
    <t xml:space="preserve">Dossier : 31, 33, 36, 46, 47, 52, 53, 55, 66, 68, 72, 79, 81, 83, 99, 101, 107-111, 117, 120, 125, 132, 135, 143, 152, 161, 162, 165, 167, 170, 173, 174, 176, 177, 179, 180, 183, 185, 188, 192, 193, 195, 197, 199, 204, 204, 208, 209, 218, 219, </t>
  </si>
  <si>
    <t>Couvet W8-W14</t>
  </si>
  <si>
    <t>NAT</t>
  </si>
  <si>
    <t>AEN fonds privés (église)</t>
  </si>
  <si>
    <t>Château Grand Compactus GC7 tab. 1-11 carton 17</t>
  </si>
  <si>
    <t>10UNI -21(Université)</t>
  </si>
  <si>
    <t>fonds publics/écoles</t>
  </si>
  <si>
    <t>Château, 1e étage; travée 147 (à dr de la porte d'entrée)</t>
  </si>
  <si>
    <t>1er - à traiter</t>
  </si>
  <si>
    <t>Voir avec Nils -&gt; où cela a été déplacé</t>
  </si>
  <si>
    <t xml:space="preserve">fonds privés </t>
  </si>
  <si>
    <t>Château GC, tr. 1565 à 1569 (mezzanine)</t>
  </si>
  <si>
    <t>Château 2e, tr. 426, Fonds Descombes</t>
  </si>
  <si>
    <t>Gustave Jequier</t>
  </si>
  <si>
    <t>Nombreuses photographies de familles (centaines?) et vues
dans la série 2 voir dans les dossiers : 1, 3, 7, 8, 9, 10, 12 à 16,   24, 27, 28, 31, 32, 34, 50 , 51. 52</t>
  </si>
  <si>
    <t xml:space="preserve">	In fonds wolfrath</t>
  </si>
  <si>
    <t>Couvet W4/ W5/  W7/ hall central</t>
  </si>
  <si>
    <t xml:space="preserve">Estimation : 1000 positifs et 1000 négatif 
à aller voir à couvet pour une estimation plus précise </t>
  </si>
  <si>
    <t>Boites avec négatifs ; voir sir palce ; notes manuscrites de CR sur étagères</t>
  </si>
  <si>
    <t>Couvet W39-W40 + meubles à plan</t>
  </si>
  <si>
    <t xml:space="preserve">Albums (ancien ingénieur électricité ville NE) </t>
  </si>
  <si>
    <t>Bureau cde </t>
  </si>
  <si>
    <t xml:space="preserve">Photos de levées de corps </t>
  </si>
  <si>
    <t>46 photographies noir et blanc (deux cliché côte à côte). + 9 carte postales</t>
  </si>
  <si>
    <t>Un type de photographies avec deux clichés assemblé l'un à côté de l'autre</t>
  </si>
  <si>
    <t>195 photographies</t>
  </si>
  <si>
    <t>1909 - 1916</t>
  </si>
  <si>
    <t>Noir et blanc, parfois sepia, tout format</t>
  </si>
  <si>
    <t>5terrisse-55? - 5t - 6t61 - 9t28 - 9t32 - 13t9 - 15t5 - 16t5
Le fonds est composé de diverses photographies de bâtiment, groupe de dames, de soldats, de paysages et de portraits.</t>
  </si>
  <si>
    <t>187 photos
10 négatifs</t>
  </si>
  <si>
    <t>photo noir et blanc, potraits, groupes, soldats</t>
  </si>
  <si>
    <t>289 photos noir et blanc</t>
  </si>
  <si>
    <t>photos en noir et blanc</t>
  </si>
  <si>
    <t>85 photos noir et blanc</t>
  </si>
  <si>
    <t>photos noir et blanc, tout format</t>
  </si>
  <si>
    <t>photographie noir et blanc tout format</t>
  </si>
  <si>
    <t>3 daguérotypes 
3 négatifs
58 carte postales
4 Plaques de verre
1 146 photographies</t>
  </si>
  <si>
    <t>Photographies en noir et blanc,sépia ou bleu, tout format, portrait, groupe, paysage,batiments et objets</t>
  </si>
  <si>
    <t>Château 1er étage travées 111-112, 127-128, 130, 140, 180-183</t>
  </si>
  <si>
    <t>1848-1993</t>
  </si>
  <si>
    <t>1POL Département de police (1827 - 1993) Administration cantonale de 1848 à 1993 - 	1POL-1249 à 1255 + 457 à 463</t>
  </si>
  <si>
    <t>Environ 10 000 photos au 100 près.</t>
  </si>
  <si>
    <t>Photo noir et blanc, sepia, portrait format carte de visite. Il existe des photos avec deux prises de vue du portrait (de face et latérale)</t>
  </si>
  <si>
    <t>122 photos format portrait</t>
  </si>
  <si>
    <t>Format portrait, noir et blanc ou sepia</t>
  </si>
  <si>
    <t>1759 - 1900</t>
  </si>
  <si>
    <t>GC9 tab 19-35</t>
  </si>
  <si>
    <t>178 photos sepia de petit et normal format</t>
  </si>
  <si>
    <t>Photo noir et blanc, sepia, divers formats</t>
  </si>
  <si>
    <t>Photos portraits, paysages, bâtiments
Trouvable dans ces dossiers :
Boîte 64 - 526, 527, 528, 579
Boîte 69 - 556, 585
Boîte 51 - 687 
Boîte 69 - 716
Boîte 33 - 783
Boîte 54 - 883
Boîte 54 - 887
Boîte 54 - 892a</t>
  </si>
  <si>
    <t>Au 2ème étage : les photos sont des cartes de visites, portraits, paysage et photo de groupe. Les principaux sujets sont : populations d’Afrique
AU GC3 :les photographies sont des portaits de famille, plutôt des photos personnelles sur les membres de la famille</t>
  </si>
  <si>
    <t>12 photos</t>
  </si>
  <si>
    <t>petit format noir et blanc</t>
  </si>
  <si>
    <t>Château, GC, tr.1520 (+une pièce en 1516A: 3JEQ-12)</t>
  </si>
  <si>
    <t>Château, GC, tr. 1493, 1499</t>
  </si>
  <si>
    <t>Château, GC 2, tab. 6-35 + tr. 1475 (hors-formats)</t>
  </si>
  <si>
    <t>Château, GC8 tab. 8</t>
  </si>
  <si>
    <t xml:space="preserve">1 photo </t>
  </si>
  <si>
    <t>paysage noir et blanc, format classique</t>
  </si>
  <si>
    <t>1924-1936</t>
  </si>
  <si>
    <t>3JEQUIER-5
= 
Album contenant env. 80 photographies d'un voyage entre Suez, le Sinaï, Petra, Jérusalem et région.
81 plaques de verre
765 photographies différents formats</t>
  </si>
  <si>
    <t>Plaques de verre,
Photographie noir et blanc, sépia</t>
  </si>
  <si>
    <t>Voir dossiers : 1jequier 3, 6, 7, 8, 15, 17, 20
2jequier- 6, 7, 8
3 jequier- 5, 7, 8, 9, 10, 11
Photographie de paysages egyptiens, de portraits, d'objets archéologiques</t>
  </si>
  <si>
    <t xml:space="preserve">4 photos </t>
  </si>
  <si>
    <t>Photo noir et blanc, portrait, petit format</t>
  </si>
  <si>
    <t>Photos : 1 335
Négatif : 28
Cadre : 15</t>
  </si>
  <si>
    <t>Photo de noir et blanc, sépia ou couleur. Tout format. Paysage, portrait, photos de famille.
Carte postale, carte de visites, etc</t>
  </si>
  <si>
    <t xml:space="preserve">231 photographies </t>
  </si>
  <si>
    <t>photographies de tout format et noir et blan</t>
  </si>
  <si>
    <t>7 albums japon/ inde Java/ ceylan etc (+ 1 album préfargier)
1MEURON PIERRE-8
2MEURON PIERRE -1 à 5
Paysage, portrait, photos de groupe, d'objets</t>
  </si>
  <si>
    <t>1900 - 1940</t>
  </si>
  <si>
    <t>1890 - 1980</t>
  </si>
  <si>
    <t>Un fonds aui focalise ses photographies sur les oiseaux
15 nos oiseaux-8</t>
  </si>
  <si>
    <t>Volume total - Photographie</t>
  </si>
  <si>
    <t>Portraits
14Wolfrath</t>
  </si>
  <si>
    <t>Volume total - Plaque de verre</t>
  </si>
  <si>
    <t>Volume total - Négatif</t>
  </si>
  <si>
    <t>Volume total - Carte postale</t>
  </si>
  <si>
    <t>9</t>
  </si>
  <si>
    <t>AEN</t>
  </si>
  <si>
    <t>Divers fonds</t>
  </si>
  <si>
    <t>Emplacement</t>
  </si>
  <si>
    <r>
      <t>Fin 19 – mi 20</t>
    </r>
    <r>
      <rPr>
        <vertAlign val="superscript"/>
        <sz val="9"/>
        <rFont val="Arial"/>
        <family val="2"/>
      </rPr>
      <t>e</t>
    </r>
    <r>
      <rPr>
        <sz val="9"/>
        <rFont val="Arial"/>
        <family val="2"/>
      </rPr>
      <t xml:space="preserve"> env.</t>
    </r>
  </si>
  <si>
    <r>
      <t>Réceptions</t>
    </r>
    <r>
      <rPr>
        <b/>
        <sz val="9"/>
        <rFont val="Arial"/>
        <family val="2"/>
      </rPr>
      <t xml:space="preserve"> </t>
    </r>
    <r>
      <rPr>
        <sz val="9"/>
        <rFont val="Arial"/>
        <family val="2"/>
      </rPr>
      <t>officielles, dont : Réception du couple princier de Monaco (Prince Rainier et Grace Kelly) par Max Petitpierre (1960) et 1983: Album de photographies de la réception officielle de  François Mitterrand.</t>
    </r>
  </si>
  <si>
    <r>
      <t xml:space="preserve">In fonds </t>
    </r>
    <r>
      <rPr>
        <b/>
        <sz val="9"/>
        <rFont val="Arial"/>
        <family val="2"/>
      </rPr>
      <t>F</t>
    </r>
    <r>
      <rPr>
        <sz val="9"/>
        <rFont val="Arial"/>
        <family val="2"/>
      </rPr>
      <t>avarger</t>
    </r>
  </si>
  <si>
    <t>Dubied (= Entreprise Ed Dubied &amp; co) = fond s DUBIED  principal</t>
  </si>
  <si>
    <r>
      <t>1</t>
    </r>
    <r>
      <rPr>
        <vertAlign val="superscript"/>
        <sz val="9"/>
        <rFont val="Arial"/>
        <family val="2"/>
      </rPr>
      <t>e</t>
    </r>
    <r>
      <rPr>
        <sz val="9"/>
        <rFont val="Arial"/>
        <family val="2"/>
      </rPr>
      <t xml:space="preserve"> moitié 20e</t>
    </r>
  </si>
  <si>
    <r>
      <t>4</t>
    </r>
    <r>
      <rPr>
        <vertAlign val="superscript"/>
        <sz val="9"/>
        <rFont val="Arial"/>
        <family val="2"/>
      </rPr>
      <t>e</t>
    </r>
    <r>
      <rPr>
        <sz val="9"/>
        <rFont val="Arial"/>
        <family val="2"/>
      </rPr>
      <t>/ ex fdp</t>
    </r>
  </si>
  <si>
    <t>423 photographies</t>
  </si>
  <si>
    <t>Photo, noir et blanc, sepia, groupe, paysage, portrait</t>
  </si>
  <si>
    <t xml:space="preserve">
Château, 4e tr. 879
déplacé au 3ème tr. 1126-1131
5CHA-3/11
5CHA-3/02</t>
  </si>
  <si>
    <t>215 photographies, nord et blanc</t>
  </si>
  <si>
    <t>52 photographies</t>
  </si>
  <si>
    <t>Photos noir et blanc, format classique</t>
  </si>
  <si>
    <t>Pouponnière. Nurses ; fiches avec photo d’identité - portrait, photo de groupe</t>
  </si>
  <si>
    <t>photos en noir et blanc, couleur</t>
  </si>
  <si>
    <t>Château Grand Compactus GC7 tab. 12-30; GC tr. 1486</t>
  </si>
  <si>
    <t>1823-1948</t>
  </si>
  <si>
    <t>fonds privés</t>
  </si>
  <si>
    <t>1873 - 1961</t>
  </si>
  <si>
    <t>522 photos tout format, noir et blanc ou sepia</t>
  </si>
  <si>
    <t>Galerie (provisoire)</t>
  </si>
  <si>
    <t>Photo en noir et blanc ou sepia, tout format mais principalement des petits formats</t>
  </si>
  <si>
    <t>Galerie - à traiter</t>
  </si>
  <si>
    <t>fonds public</t>
  </si>
  <si>
    <t>Département de l'intérieur du Canton de Neuchâtel - etablissements et institutions de bienfaisance I - Orphelinats assistance et protection de l'enfance</t>
  </si>
  <si>
    <t>6 photo sepia</t>
  </si>
  <si>
    <t>Photo de grand format, sepia dont un portrait</t>
  </si>
  <si>
    <t>2 album non identitfier</t>
  </si>
  <si>
    <t>1924-1940</t>
  </si>
  <si>
    <t>Château 4ème, tr 839
Galerie - à traiter</t>
  </si>
  <si>
    <t xml:space="preserve">Fonds Louis- Auguste Martenet </t>
  </si>
  <si>
    <t>Le fonds est divisé en 3 albums. Le détail des sujets est listé sur un document annexe.
Monsieur Martenet était l'ingénieur en chef de la Compagnie neuchâteloise d'électricité et du Service d'électricité de la Ville.
On voit un intérêt pour les ponts, les bâtiments et l'électricités.
Dans le num 12 on trouve 205 photos dont les dates sont comprises entre 1918 - 1923. Les sujets sont : photos de vacances, famille, paysage (montage ou océan), on y trouve aussi des clichés de voiture et d'avion.
Dans l'album num 7, on trouvre 313 clichés. Les sujets sont similaires au premier mais on y retrouve également des clichés de chantier de construction et d'enfants.
Dans le dernier album, le num 8, on compte 116 photos. Les sujets sont similaires que les précédents avec l'apparition de quelques photos de soldats.</t>
  </si>
  <si>
    <t>6 photos des différents orphelinats du canton ou les hospices. Les photos sont prises de loin de sorte que le bâtiment rentre totalement dans le cadre</t>
  </si>
  <si>
    <t>album 1 - 1924 à 1935 : 133 photos 
Album 2 - 1939 à 1945 :182 photos
Les photos se concentrent sur les militaires, souvent en groupe en train de poser ou en exercice.
Ces albums se constituent de plusieurs photos traitant plusieurs sujets : des militaires souvent en groupe, équipement militaires et exercices.</t>
  </si>
  <si>
    <t>315 photos noir et blanc</t>
  </si>
  <si>
    <t>Photo noir et blanc de différent format</t>
  </si>
  <si>
    <t>Album des temples neuchâtelois 
NAT-46 
1 paysage de neuchâtel</t>
  </si>
  <si>
    <t>Différentes photos avec des groupes, des portraits.
On trouve des albums dans le fond.</t>
  </si>
  <si>
    <t>Portrait fait par la police cantonale. Souvent deux prises de vues mais peut être réalisé seulement de face.</t>
  </si>
  <si>
    <t>Houriet Famille</t>
  </si>
  <si>
    <t>Château, 3e, tr.1167 (tourelle)</t>
  </si>
  <si>
    <t>Dipac-1038 photos swissair
-1271 1274
1282 1283
1356 1358</t>
  </si>
  <si>
    <t>Maillefer, 59-61 et 71-73 (et +)</t>
  </si>
  <si>
    <t>Flotron</t>
  </si>
  <si>
    <t>Château, 3e, tr. 1174 (tourelle)</t>
  </si>
  <si>
    <t>Préfargier</t>
  </si>
  <si>
    <t>Tout Xxème</t>
  </si>
  <si>
    <t>Lieux + dossiers a préciser par CR</t>
  </si>
  <si>
    <t>Arrivée 
2015-A13</t>
  </si>
  <si>
    <t>15 photos</t>
  </si>
  <si>
    <t>Chambrier</t>
  </si>
  <si>
    <t xml:space="preserve">On y trouve des négatif en plaque de verre </t>
  </si>
  <si>
    <t>20 plaques de verre
Plusieurs tirages photos à compter</t>
  </si>
  <si>
    <t>Château, GC 29, a vérifier</t>
  </si>
  <si>
    <t>Famille Perregaux</t>
  </si>
  <si>
    <t>11 photos</t>
  </si>
  <si>
    <t>Château, GC à l'entrée</t>
  </si>
  <si>
    <t xml:space="preserve"> </t>
  </si>
  <si>
    <t>15 photographies en noir et blanc</t>
  </si>
  <si>
    <t>Les photographies sont en noirs et blancs, de mauvaise qualité</t>
  </si>
  <si>
    <t>1AGASSIZ LOUIS-4
Ancienne cote	4 H.
Beaucoup de photographie de bâtisses d'époque, fin XIX ou début Xxème siècle</t>
  </si>
  <si>
    <t>32 photos en noir et blanc</t>
  </si>
  <si>
    <t>Vie militaire et civile d'Henri-Edouard Courvoisier (1863-1954). Photos de groupe, monuments, ballon.</t>
  </si>
  <si>
    <t>GUILLAUME JAMES-41
Album anarchiste</t>
  </si>
  <si>
    <t>Famille COURVOISIER - AEN-2023-A18</t>
  </si>
  <si>
    <t>1827-1912</t>
  </si>
  <si>
    <t>Collection</t>
  </si>
  <si>
    <t>a prtir de l'inventaire fait en1993</t>
  </si>
  <si>
    <t xml:space="preserve">Château Grand compactus 36 tablette 38
tr. 1570 tabl. 2 </t>
  </si>
  <si>
    <t>Château, GC 4, tabl. 31-53
tr. 1484 + 1482</t>
  </si>
  <si>
    <t>173 photographies Noir et Blanc et sepia</t>
  </si>
  <si>
    <t>Photographie Noir et Blanc, sepia 
tout format, bon état</t>
  </si>
  <si>
    <t xml:space="preserve">1 album et des photos réunis dans un dossier. Photos avec comme sujet des soldats/milieu militaire, groupes, armements, portraits. </t>
  </si>
  <si>
    <t>2637 tirages
413 planches contacts</t>
  </si>
  <si>
    <t>Château 3ème étage, tr 703</t>
  </si>
  <si>
    <t>Planches contact</t>
  </si>
  <si>
    <t>Noir-blanc. Grand format. Avec planches contact. Pas de négatifs.</t>
  </si>
  <si>
    <t>8 négatifs
136 photos (20 en noir et blnac)</t>
  </si>
  <si>
    <t>Photographie couleurs et noir et blanc. Tout format</t>
  </si>
  <si>
    <t xml:space="preserve">Fonds assez hétéroclite, des portraits, photos de groupe. Mais aussi photo en tenue d'apparât, photo de soirée. </t>
  </si>
  <si>
    <t>Guillaume Ritter</t>
  </si>
  <si>
    <t>4 photos noir et blanc</t>
  </si>
  <si>
    <t>Photographie en noir et blanc, tout format.</t>
  </si>
  <si>
    <t>Photos éparses dans le fond. Les sujets sont les bâtiments ou le paysage urbain (la-chaux-de-fond)</t>
  </si>
  <si>
    <t>Diapositive</t>
  </si>
  <si>
    <t>1931-2005</t>
  </si>
  <si>
    <t>2203 photos
400 diapositives
20 cartes postales
59 plaques de verre
418 négatifs</t>
  </si>
  <si>
    <t>1prefargier-4/27
-9/1
-9/6 à 9/20
 Sujet : fondation (lieu), paysage, lacs, bâtiments, outils, matériels, chambre, salles diverses, salle de bain du lieu. On trouve aussi de nombreuses photographies de groupe, d'événements, de portraits de personne de tout âge. Les diapositives portent sur l'égypte, de la géographie, des cours d'histoire et de théologie il semble. On a aussi des réceptions de la fondation. Fonds hétéroclites par excellence.</t>
  </si>
  <si>
    <t>Paysages et portraits. Commande de l’État de Neuchâtel visant à « créer un portrait du canton de Neuchâtel » dans le cadre des festivités de 1991.
Paysage urbain : chantier naval, terrains, ateliers, usines, boucheries, magasins, artisans, etc.
Nous disposons de 2 637 tirages grand format ainsi que de 413 planches contact. Ces dernières reprennent les tirages, mais certains clichés figurant sur les planches n’ont pas été tirés en grand format.</t>
  </si>
  <si>
    <t>400</t>
  </si>
  <si>
    <t>Fondation suisse pr téléthèses</t>
  </si>
  <si>
    <t xml:space="preserve">photographie noir et blanc, sepia, </t>
  </si>
  <si>
    <t xml:space="preserve">paysage, portrait, bâtisse </t>
  </si>
  <si>
    <t>Château, 3e, tr.1168</t>
  </si>
  <si>
    <t>photo noir et blanc, sepia</t>
  </si>
  <si>
    <t>350 photos</t>
  </si>
  <si>
    <t>Portrait, famille, groupe, Afrique, voyage, enfant, bâtiment</t>
  </si>
  <si>
    <t>1987-1933</t>
  </si>
  <si>
    <t>Sujet : Soldats, Famille. Groupe, Célébrations, Voyages, Bâtiments, Portrait</t>
  </si>
  <si>
    <t>1547 de photo
50 carte postale</t>
  </si>
  <si>
    <t xml:space="preserve">tout format, noir et blanc et couleur. </t>
  </si>
  <si>
    <t>Env 30 Albums de photographies des
machines et pièces (1891-1950).
Très nombreuses photographies : bâtiments (usines, immeuble possédés par l'entreprises); du personnel, de fêtes (jubilaires) d'anniversaire de l'entreprise (80e), classes d'apprentis, excursions, etc 
DUBIED-479-513 ; 649 ; 653-660 ; 995, 996 ; 998 ; 999 ; 1000, 1002,  1008, 1009 ;1010 ;  1011 ; 1012
Sujet : Soldat, Cérémonie, Industrie, Ouvrier, Usine, Objet du quotidien, Bâtiment, Animaux, Voiture</t>
  </si>
  <si>
    <t>1900-2000</t>
  </si>
  <si>
    <t>1924-1990</t>
  </si>
  <si>
    <t>551 plaques de verre
6 613 négatifs
1726 photo ( manque les 3 derniers album W40 étagère au sol)</t>
  </si>
  <si>
    <t>Plaque de verre, photo noir et blanc, négatif.
Tout format.  Couleur:</t>
  </si>
  <si>
    <t>6 613</t>
  </si>
  <si>
    <t>Plaque de verre cassée boite num : Du-Arch-605-98 à W39</t>
  </si>
  <si>
    <t>Dubied  VDT (= un autre fonds dubied !)
Paysage, Portrait, Ouvrier, Industrie, Cérémonies, Groupe</t>
  </si>
  <si>
    <t>15 632 seulement des négatifs</t>
  </si>
  <si>
    <t>seulement des négatifs, quelques petits formats mais sinon taille standard mais au format carré</t>
  </si>
  <si>
    <t>Env 1968-1979</t>
  </si>
  <si>
    <t>Photos industrielles (et publicitaires ?)
Sujet plutôt industrie, horlogerie, bâtiments, objet industriel
Il y a a envirron 4630 photos dans les 6 boîtes à chaussure. Pour les tiroirs, les deux premiers étaient à 2005 et 2500 clichés. Les trois autres étaient dans un mauvais état, difficilement explorable. J'ai calculé à l'oeil. Les tiroirs étaient pleins comme le second. Mais des photos se trouvaient en vrac par dessus. D'où le nombre plus conséquent. C'est une estimation globale (le chiffre est précis pour les boîtes)</t>
  </si>
  <si>
    <t>Volume total - Daguérrotype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</si>
</sst>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9"/>
      <name val="Arial"/>
    </font>
    <font>
      <sz val="10"/>
      <name val="Calibri"/>
      <family val="2"/>
    </font>
    <font>
      <sz val="9"/>
      <name val="Arial"/>
      <family val="2"/>
    </font>
    <font>
      <sz val="10"/>
      <name val="Arial"/>
      <family val="2"/>
    </font>
    <font>
      <vertAlign val="superscript"/>
      <sz val="10"/>
      <name val="Arial"/>
      <family val="2"/>
    </font>
    <font>
      <sz val="10"/>
      <name val="Segoe UI"/>
      <family val="2"/>
    </font>
    <font>
      <vertAlign val="superscript"/>
      <sz val="9"/>
      <name val="Arial"/>
      <family val="2"/>
    </font>
    <font>
      <sz val="9"/>
      <name val="Segoe UI"/>
      <family val="2"/>
    </font>
    <font>
      <sz val="9"/>
      <name val="Calibri"/>
      <family val="2"/>
    </font>
    <font>
      <b/>
      <sz val="9"/>
      <color rgb="FF6F6F6F"/>
      <name val="Segoe UI"/>
      <family val="2"/>
    </font>
    <font>
      <b/>
      <sz val="9"/>
      <name val="Arial"/>
      <family val="2"/>
    </font>
    <font>
      <sz val="10"/>
      <color rgb="FF000000"/>
      <name val="Segoe UI"/>
      <family val="2"/>
    </font>
  </fonts>
  <fills count="2">
    <fill>
      <patternFill patternType="none"/>
    </fill>
    <fill>
      <patternFill patternType="gray125"/>
    </fill>
  </fills>
  <borders count="6">
    <border>
      <left/>
      <right/>
      <top/>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s>
  <cellStyleXfs count="1">
    <xf numFmtId="0" fontId="0" fillId="0" borderId="0"/>
  </cellStyleXfs>
  <cellXfs count="34">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vertical="center" wrapText="1"/>
    </xf>
    <xf numFmtId="49" fontId="0" fillId="0" borderId="0" xfId="0" applyNumberFormat="1" applyAlignment="1">
      <alignment horizontal="center" vertical="center" wrapText="1"/>
    </xf>
    <xf numFmtId="0" fontId="2" fillId="0" borderId="0" xfId="0" applyFont="1" applyAlignment="1">
      <alignment vertical="center" wrapText="1"/>
    </xf>
    <xf numFmtId="16" fontId="2" fillId="0" borderId="0" xfId="0" applyNumberFormat="1" applyFont="1" applyAlignment="1">
      <alignment horizontal="left" vertical="center" wrapText="1"/>
    </xf>
    <xf numFmtId="0" fontId="1" fillId="0" borderId="0" xfId="0" applyFont="1" applyAlignment="1">
      <alignment horizontal="center" vertical="center" wrapText="1"/>
    </xf>
    <xf numFmtId="0" fontId="3" fillId="0" borderId="0" xfId="0" applyFont="1" applyAlignment="1">
      <alignment horizontal="center" vertical="center"/>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2" fillId="0" borderId="2" xfId="0" applyFont="1" applyBorder="1" applyAlignment="1">
      <alignment horizontal="left" vertical="center" wrapText="1"/>
    </xf>
    <xf numFmtId="0" fontId="3" fillId="0" borderId="4" xfId="0" applyFont="1" applyBorder="1" applyAlignment="1">
      <alignment horizontal="center" vertical="center" wrapText="1"/>
    </xf>
    <xf numFmtId="0" fontId="3" fillId="0" borderId="4" xfId="0" applyFont="1" applyBorder="1" applyAlignment="1">
      <alignment horizontal="left" vertical="center" wrapText="1"/>
    </xf>
    <xf numFmtId="0" fontId="2" fillId="0" borderId="4" xfId="0" applyFont="1" applyBorder="1" applyAlignment="1">
      <alignment horizontal="left" vertical="center" wrapText="1"/>
    </xf>
    <xf numFmtId="0" fontId="2" fillId="0" borderId="4" xfId="0" applyFont="1" applyBorder="1" applyAlignment="1">
      <alignment horizontal="center" vertical="center" wrapText="1"/>
    </xf>
    <xf numFmtId="0" fontId="2" fillId="0" borderId="0" xfId="0" applyFont="1"/>
    <xf numFmtId="0" fontId="7" fillId="0" borderId="0" xfId="0" applyFont="1" applyAlignment="1">
      <alignment vertical="center" wrapText="1"/>
    </xf>
    <xf numFmtId="0" fontId="8" fillId="0" borderId="0" xfId="0" applyFont="1" applyAlignment="1">
      <alignment vertical="top" wrapText="1" indent="1"/>
    </xf>
    <xf numFmtId="0" fontId="9" fillId="0" borderId="0" xfId="0" applyFont="1" applyAlignment="1">
      <alignment horizontal="center" vertical="center" wrapText="1"/>
    </xf>
    <xf numFmtId="0" fontId="2" fillId="0" borderId="4" xfId="0" applyFont="1" applyBorder="1" applyAlignment="1">
      <alignment vertical="center" wrapText="1"/>
    </xf>
    <xf numFmtId="0" fontId="2" fillId="0" borderId="2" xfId="0" applyFont="1" applyBorder="1" applyAlignment="1">
      <alignment vertical="center" wrapText="1"/>
    </xf>
    <xf numFmtId="0" fontId="2" fillId="0" borderId="5" xfId="0" applyFont="1" applyBorder="1" applyAlignment="1">
      <alignment horizontal="left" vertical="center" wrapText="1"/>
    </xf>
    <xf numFmtId="0" fontId="2" fillId="0" borderId="1" xfId="0" applyFont="1" applyBorder="1" applyAlignment="1">
      <alignment horizontal="center" vertical="center" wrapText="1"/>
    </xf>
    <xf numFmtId="0" fontId="11" fillId="0" borderId="0" xfId="0" applyFont="1" applyAlignment="1">
      <alignment wrapText="1"/>
    </xf>
    <xf numFmtId="0" fontId="7" fillId="0" borderId="0" xfId="0" applyFont="1" applyAlignment="1">
      <alignment horizontal="left" vertical="center" wrapText="1"/>
    </xf>
    <xf numFmtId="0" fontId="3" fillId="0" borderId="2" xfId="0" applyFont="1" applyBorder="1" applyAlignment="1">
      <alignment wrapText="1"/>
    </xf>
    <xf numFmtId="0" fontId="5" fillId="0" borderId="0" xfId="0" applyFont="1" applyAlignment="1">
      <alignment horizontal="left" vertical="center" wrapText="1"/>
    </xf>
    <xf numFmtId="0" fontId="2" fillId="0" borderId="1" xfId="0" applyFont="1" applyBorder="1" applyAlignment="1">
      <alignment vertical="center" wrapText="1"/>
    </xf>
    <xf numFmtId="0" fontId="2" fillId="0" borderId="3" xfId="0" applyFont="1" applyBorder="1" applyAlignment="1">
      <alignment vertical="center" wrapText="1"/>
    </xf>
  </cellXfs>
  <cellStyles count="1">
    <cellStyle name="Normal" xfId="0" builtinId="0"/>
  </cellStyles>
  <dxfs count="36">
    <dxf>
      <alignment horizontal="center" vertical="center" textRotation="0" wrapText="1" indent="0" justifyLastLine="0" shrinkToFit="0" readingOrder="0"/>
      <border diagonalUp="0" diagonalDown="0" outline="0">
        <left/>
        <right style="medium">
          <color indexed="64"/>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border diagonalUp="0" diagonalDown="0" outline="0">
        <left style="medium">
          <color indexed="64"/>
        </left>
        <right/>
        <top/>
        <bottom/>
      </border>
    </dxf>
    <dxf>
      <alignment horizontal="center" vertical="center" textRotation="0" wrapText="1" indent="0" justifyLastLine="0" shrinkToFit="0" readingOrder="0"/>
      <border diagonalUp="0" diagonalDown="0">
        <left/>
        <right style="medium">
          <color indexed="64"/>
        </right>
        <vertical/>
      </border>
    </dxf>
    <dxf>
      <font>
        <b val="0"/>
        <i val="0"/>
        <strike val="0"/>
        <condense val="0"/>
        <extend val="0"/>
        <outline val="0"/>
        <shadow val="0"/>
        <u val="none"/>
        <vertAlign val="baseline"/>
        <sz val="9"/>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9"/>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sz val="10"/>
        <family val="2"/>
      </font>
      <alignment horizontal="left" vertical="center" textRotation="0" wrapText="1" indent="0" justifyLastLine="0" shrinkToFit="0" readingOrder="0"/>
    </dxf>
    <dxf>
      <font>
        <sz val="10"/>
        <family val="2"/>
      </font>
      <alignment horizontal="left" vertical="center" textRotation="0" wrapText="1" indent="0" justifyLastLine="0" shrinkToFit="0" readingOrder="0"/>
    </dxf>
    <dxf>
      <font>
        <strike val="0"/>
        <outline val="0"/>
        <shadow val="0"/>
        <u val="none"/>
        <vertAlign val="baseline"/>
        <sz val="10"/>
        <color auto="1"/>
        <name val="Arial"/>
        <scheme val="none"/>
      </font>
      <alignment horizontal="center" vertical="center" textRotation="0" wrapText="1" indent="0" justifyLastLine="0" shrinkToFit="0" readingOrder="0"/>
      <border diagonalUp="0" diagonalDown="0">
        <left style="medium">
          <color indexed="64"/>
        </left>
        <right/>
        <vertical/>
      </border>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53C7DE-5ACE-44B9-AFED-CFF386979C83}" name="Tableau2" displayName="Tableau2" ref="A1:Q86" totalsRowCount="1" headerRowDxfId="35" dataDxfId="34">
  <autoFilter ref="A1:Q85" xr:uid="{8F53C7DE-5ACE-44B9-AFED-CFF386979C83}"/>
  <sortState xmlns:xlrd2="http://schemas.microsoft.com/office/spreadsheetml/2017/richdata2" ref="A2:Q85">
    <sortCondition ref="J1:J85"/>
  </sortState>
  <tableColumns count="17">
    <tableColumn id="12" xr3:uid="{BD6102B5-8998-4E0A-BC54-F329D1658A49}" name="Lieux de conservation" totalsRowLabel="AEN" dataDxfId="33" totalsRowDxfId="16"/>
    <tableColumn id="2" xr3:uid="{5A09F71E-52E5-47CC-A924-1FD5F8B6260C}" name="Type de fonds" dataDxfId="32" totalsRowDxfId="15"/>
    <tableColumn id="9" xr3:uid="{9E037ABF-8A41-473B-B371-DC11FD4F93D3}" name=" " totalsRowLabel="Divers fonds" dataDxfId="31" totalsRowDxfId="14"/>
    <tableColumn id="10" xr3:uid="{551687C6-B682-41B5-A7B6-A8925004B7F6}" name="Contenu" dataDxfId="30" totalsRowDxfId="13"/>
    <tableColumn id="14" xr3:uid="{E7ABFEE4-B076-4E14-B931-D30174E84245}" name="Dates" dataDxfId="29" totalsRowDxfId="12"/>
    <tableColumn id="3" xr3:uid="{9644D662-2BEF-494F-945B-8CDA560A9E26}" name="Volume " dataDxfId="28" totalsRowDxfId="11"/>
    <tableColumn id="4" xr3:uid="{CC430E9A-C81E-4E26-9333-69D2A8783BCD}" name="Type d'image/photo" dataDxfId="27" totalsRowDxfId="10"/>
    <tableColumn id="11" xr3:uid="{C2965656-8719-4538-9761-C36CA700A44E}" name="Emplacement" dataDxfId="26" totalsRowDxfId="9"/>
    <tableColumn id="1" xr3:uid="{FD039D13-65E2-40DF-9CB9-3A58C6A82A55}" name="Etage" dataDxfId="25" totalsRowDxfId="8"/>
    <tableColumn id="15" xr3:uid="{0ACB52F1-1F4D-4597-9FF9-2993E0907D88}" name="Volume total - Photographie" totalsRowFunction="custom" dataDxfId="24" totalsRowDxfId="7">
      <totalsRowFormula>SUM(Tableau2[Volume total - Photographie])</totalsRowFormula>
    </tableColumn>
    <tableColumn id="5" xr3:uid="{39AF687A-79CC-45FE-85E9-3025AD1314C4}" name="Volume total - Plaque de verre" totalsRowFunction="custom" dataDxfId="23" totalsRowDxfId="6">
      <totalsRowFormula>SUM(Tableau2[Volume total - Plaque de verre])</totalsRowFormula>
    </tableColumn>
    <tableColumn id="7" xr3:uid="{FCFA9C43-ECB2-410C-B178-13AE9E50E59B}" name="Volume total - Négatif" totalsRowFunction="custom" dataDxfId="22" totalsRowDxfId="5">
      <totalsRowFormula>SUM(Tableau2[Volume total - Négatif])</totalsRowFormula>
    </tableColumn>
    <tableColumn id="8" xr3:uid="{073BF370-9345-4314-BCC8-D51786D35B58}" name="Volume total - Carte postale" totalsRowFunction="custom" dataDxfId="21" totalsRowDxfId="4">
      <totalsRowFormula>SUM(Tableau2[Volume total - Carte postale])</totalsRowFormula>
    </tableColumn>
    <tableColumn id="13" xr3:uid="{4D7DDD2F-0449-4E93-8041-333DBB037EE1}" name="Volume total - Daguérrotype" totalsRowFunction="custom" dataDxfId="20" totalsRowDxfId="3">
      <totalsRowFormula>SUM(Tableau2[Volume total - Daguérrotype])</totalsRowFormula>
    </tableColumn>
    <tableColumn id="16" xr3:uid="{DDEF7DA6-9CB3-4768-B530-E87CB8ADE9B1}" name="Planches contact" totalsRowFunction="custom" dataDxfId="19" totalsRowDxfId="2">
      <totalsRowFormula>SUM(Tableau2[Planches contact])</totalsRowFormula>
    </tableColumn>
    <tableColumn id="17" xr3:uid="{8CCA5C17-6876-4596-B239-114BBA31536D}" name="Diapositive" totalsRowLabel="400" dataDxfId="18" totalsRowDxfId="1"/>
    <tableColumn id="6" xr3:uid="{2DA638C2-58EC-45A3-93B0-F9204C25DEE3}" name="Remarques" totalsRowFunction="custom" dataDxfId="17" totalsRowDxfId="0">
      <totalsRowFormula>SUM(J86:L86,N86,O86)</totalsRowFormula>
    </tableColumn>
  </tableColumns>
  <tableStyleInfo name="TableStyleMedium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8"/>
  <sheetViews>
    <sheetView tabSelected="1" topLeftCell="H1" zoomScale="90" zoomScaleNormal="90" workbookViewId="0">
      <pane ySplit="1" topLeftCell="A68" activePane="bottomLeft" state="frozen"/>
      <selection activeCell="C1" sqref="C1"/>
      <selection pane="bottomLeft" activeCell="L88" sqref="L88"/>
    </sheetView>
  </sheetViews>
  <sheetFormatPr baseColWidth="10" defaultColWidth="11.42578125" defaultRowHeight="12.75" x14ac:dyDescent="0.2"/>
  <cols>
    <col min="1" max="1" width="11.42578125" style="5" customWidth="1"/>
    <col min="2" max="2" width="14.85546875" style="2" customWidth="1"/>
    <col min="3" max="3" width="27.85546875" style="2" bestFit="1" customWidth="1"/>
    <col min="4" max="4" width="59.42578125" style="2" customWidth="1"/>
    <col min="5" max="5" width="12.42578125" style="2" customWidth="1"/>
    <col min="6" max="6" width="23.28515625" style="2" customWidth="1"/>
    <col min="7" max="7" width="20.5703125" style="2" customWidth="1"/>
    <col min="8" max="9" width="20.5703125" style="1" customWidth="1"/>
    <col min="10" max="10" width="18.42578125" style="1" bestFit="1" customWidth="1"/>
    <col min="11" max="11" width="18.140625" style="1" customWidth="1"/>
    <col min="12" max="12" width="18.42578125" style="1" bestFit="1" customWidth="1"/>
    <col min="13" max="13" width="13" style="1" customWidth="1"/>
    <col min="14" max="16" width="15" style="1" customWidth="1"/>
    <col min="17" max="17" width="17.5703125" style="1" customWidth="1"/>
    <col min="18" max="18" width="11.140625"/>
    <col min="19" max="19" width="17.85546875" style="1" customWidth="1"/>
    <col min="20" max="16384" width="11.42578125" style="1"/>
  </cols>
  <sheetData>
    <row r="1" spans="1:18" ht="33.75" customHeight="1" x14ac:dyDescent="0.2">
      <c r="A1" s="16" t="s">
        <v>2</v>
      </c>
      <c r="B1" s="2" t="s">
        <v>5</v>
      </c>
      <c r="C1" s="3" t="s">
        <v>380</v>
      </c>
      <c r="D1" s="2" t="s">
        <v>0</v>
      </c>
      <c r="E1" s="3" t="s">
        <v>11</v>
      </c>
      <c r="F1" s="2" t="s">
        <v>1</v>
      </c>
      <c r="G1" s="3" t="s">
        <v>4</v>
      </c>
      <c r="H1" s="4" t="s">
        <v>323</v>
      </c>
      <c r="I1" s="4" t="s">
        <v>53</v>
      </c>
      <c r="J1" s="1" t="s">
        <v>315</v>
      </c>
      <c r="K1" s="1" t="s">
        <v>317</v>
      </c>
      <c r="L1" s="1" t="s">
        <v>318</v>
      </c>
      <c r="M1" s="1" t="s">
        <v>319</v>
      </c>
      <c r="N1" s="4" t="s">
        <v>436</v>
      </c>
      <c r="O1" s="4" t="s">
        <v>398</v>
      </c>
      <c r="P1" s="4" t="s">
        <v>407</v>
      </c>
      <c r="Q1" s="12" t="s">
        <v>156</v>
      </c>
      <c r="R1" s="1"/>
    </row>
    <row r="2" spans="1:18" ht="36" x14ac:dyDescent="0.2">
      <c r="A2" s="18" t="s">
        <v>3</v>
      </c>
      <c r="B2" s="3" t="s">
        <v>245</v>
      </c>
      <c r="C2" s="3" t="s">
        <v>244</v>
      </c>
      <c r="D2" s="3" t="s">
        <v>359</v>
      </c>
      <c r="E2" s="4"/>
      <c r="F2" s="3" t="s">
        <v>299</v>
      </c>
      <c r="G2" s="4" t="s">
        <v>300</v>
      </c>
      <c r="H2" s="3" t="s">
        <v>246</v>
      </c>
      <c r="I2" s="4" t="s">
        <v>151</v>
      </c>
      <c r="J2" s="4">
        <v>1</v>
      </c>
      <c r="K2" s="4"/>
      <c r="L2" s="4"/>
      <c r="M2" s="4"/>
      <c r="N2" s="4"/>
      <c r="O2" s="4"/>
      <c r="P2" s="4"/>
      <c r="Q2" s="12"/>
      <c r="R2" s="1"/>
    </row>
    <row r="3" spans="1:18" ht="24" x14ac:dyDescent="0.2">
      <c r="A3" s="18" t="s">
        <v>3</v>
      </c>
      <c r="B3" s="8"/>
      <c r="C3" s="8" t="s">
        <v>257</v>
      </c>
      <c r="D3" s="8" t="s">
        <v>316</v>
      </c>
      <c r="E3" s="8"/>
      <c r="F3" s="8" t="s">
        <v>305</v>
      </c>
      <c r="G3" s="8" t="s">
        <v>306</v>
      </c>
      <c r="H3" s="8" t="s">
        <v>298</v>
      </c>
      <c r="I3" s="4" t="s">
        <v>151</v>
      </c>
      <c r="J3" s="4">
        <v>4</v>
      </c>
      <c r="K3" s="4"/>
      <c r="L3" s="4"/>
      <c r="M3" s="4"/>
      <c r="N3" s="4"/>
      <c r="O3" s="4"/>
      <c r="P3" s="4"/>
      <c r="Q3" s="25"/>
      <c r="R3" s="1"/>
    </row>
    <row r="4" spans="1:18" ht="48" x14ac:dyDescent="0.2">
      <c r="A4" s="17" t="s">
        <v>3</v>
      </c>
      <c r="B4" s="3"/>
      <c r="C4" s="3" t="s">
        <v>12</v>
      </c>
      <c r="D4" s="3" t="s">
        <v>190</v>
      </c>
      <c r="E4" s="3"/>
      <c r="F4" s="3" t="s">
        <v>188</v>
      </c>
      <c r="G4" s="3" t="s">
        <v>189</v>
      </c>
      <c r="H4" s="3" t="s">
        <v>13</v>
      </c>
      <c r="I4" s="4" t="s">
        <v>150</v>
      </c>
      <c r="J4" s="4">
        <v>4</v>
      </c>
      <c r="K4" s="4">
        <v>54</v>
      </c>
      <c r="L4" s="4">
        <v>40</v>
      </c>
      <c r="M4" s="4"/>
      <c r="N4" s="4"/>
      <c r="O4" s="4"/>
      <c r="P4" s="4"/>
      <c r="Q4" s="15"/>
      <c r="R4" s="1"/>
    </row>
    <row r="5" spans="1:18" ht="24" x14ac:dyDescent="0.2">
      <c r="A5" s="18" t="s">
        <v>3</v>
      </c>
      <c r="B5" s="3" t="s">
        <v>95</v>
      </c>
      <c r="C5" s="3" t="s">
        <v>403</v>
      </c>
      <c r="D5" s="3" t="s">
        <v>406</v>
      </c>
      <c r="E5" s="3"/>
      <c r="F5" s="3" t="s">
        <v>404</v>
      </c>
      <c r="G5" s="3" t="s">
        <v>405</v>
      </c>
      <c r="H5" s="8" t="s">
        <v>367</v>
      </c>
      <c r="I5" s="4" t="s">
        <v>146</v>
      </c>
      <c r="J5" s="4">
        <v>4</v>
      </c>
      <c r="K5" s="4"/>
      <c r="L5" s="4"/>
      <c r="M5" s="4"/>
      <c r="N5" s="4"/>
      <c r="O5" s="4"/>
      <c r="P5" s="4"/>
      <c r="Q5" s="15"/>
      <c r="R5" s="1"/>
    </row>
    <row r="6" spans="1:18" ht="12" x14ac:dyDescent="0.2">
      <c r="A6" s="18"/>
      <c r="B6" s="3"/>
      <c r="C6" s="3" t="s">
        <v>107</v>
      </c>
      <c r="D6" s="3" t="s">
        <v>108</v>
      </c>
      <c r="E6" s="3"/>
      <c r="F6" s="3">
        <v>5</v>
      </c>
      <c r="G6" s="3"/>
      <c r="H6" s="4"/>
      <c r="I6" s="4" t="s">
        <v>155</v>
      </c>
      <c r="J6" s="4">
        <v>5</v>
      </c>
      <c r="K6" s="4"/>
      <c r="L6" s="4"/>
      <c r="M6" s="4"/>
      <c r="N6" s="4"/>
      <c r="O6" s="4"/>
      <c r="P6" s="4"/>
      <c r="Q6" s="12"/>
      <c r="R6" s="1"/>
    </row>
    <row r="7" spans="1:18" ht="36" x14ac:dyDescent="0.2">
      <c r="A7" s="24" t="s">
        <v>3</v>
      </c>
      <c r="C7" s="2" t="s">
        <v>14</v>
      </c>
      <c r="D7" s="2" t="s">
        <v>14</v>
      </c>
      <c r="E7" s="2">
        <v>1898</v>
      </c>
      <c r="F7" s="2" t="s">
        <v>169</v>
      </c>
      <c r="G7" s="2" t="s">
        <v>170</v>
      </c>
      <c r="H7" s="2" t="s">
        <v>15</v>
      </c>
      <c r="I7" s="4" t="s">
        <v>146</v>
      </c>
      <c r="J7" s="1">
        <v>6</v>
      </c>
      <c r="Q7" s="14"/>
      <c r="R7" s="1"/>
    </row>
    <row r="8" spans="1:18" ht="72" x14ac:dyDescent="0.2">
      <c r="A8" s="18" t="s">
        <v>3</v>
      </c>
      <c r="B8" s="3" t="s">
        <v>346</v>
      </c>
      <c r="C8" s="3" t="s">
        <v>347</v>
      </c>
      <c r="D8" s="3" t="s">
        <v>355</v>
      </c>
      <c r="E8" s="3">
        <v>1896</v>
      </c>
      <c r="F8" s="3" t="s">
        <v>348</v>
      </c>
      <c r="G8" s="3" t="s">
        <v>349</v>
      </c>
      <c r="H8" s="3" t="s">
        <v>352</v>
      </c>
      <c r="I8" s="4" t="s">
        <v>345</v>
      </c>
      <c r="J8" s="4">
        <v>6</v>
      </c>
      <c r="K8" s="4"/>
      <c r="L8" s="4"/>
      <c r="M8" s="4"/>
      <c r="N8" s="4"/>
      <c r="O8" s="4"/>
      <c r="P8" s="4"/>
      <c r="Q8" s="15"/>
      <c r="R8" s="1"/>
    </row>
    <row r="9" spans="1:18" ht="28.5" x14ac:dyDescent="0.2">
      <c r="A9" s="18" t="s">
        <v>3</v>
      </c>
      <c r="B9" s="1"/>
      <c r="C9" s="1"/>
      <c r="D9" s="31" t="s">
        <v>14</v>
      </c>
      <c r="E9" s="1" t="s">
        <v>177</v>
      </c>
      <c r="F9" s="3" t="s">
        <v>200</v>
      </c>
      <c r="G9" s="1" t="s">
        <v>178</v>
      </c>
      <c r="H9" s="6" t="s">
        <v>15</v>
      </c>
      <c r="I9" s="4" t="s">
        <v>146</v>
      </c>
      <c r="J9" s="1">
        <v>6</v>
      </c>
      <c r="Q9" s="13"/>
      <c r="R9" s="1"/>
    </row>
    <row r="10" spans="1:18" ht="36" x14ac:dyDescent="0.2">
      <c r="A10" s="18" t="s">
        <v>3</v>
      </c>
      <c r="B10" s="2" t="s">
        <v>6</v>
      </c>
      <c r="C10" s="2" t="s">
        <v>7</v>
      </c>
      <c r="D10" s="2" t="s">
        <v>166</v>
      </c>
      <c r="E10" s="2" t="s">
        <v>163</v>
      </c>
      <c r="F10" s="2" t="s">
        <v>164</v>
      </c>
      <c r="G10" s="2" t="s">
        <v>165</v>
      </c>
      <c r="H10" s="2" t="s">
        <v>8</v>
      </c>
      <c r="I10" s="4" t="s">
        <v>146</v>
      </c>
      <c r="J10" s="1">
        <v>9</v>
      </c>
      <c r="Q10" s="2"/>
      <c r="R10" s="1"/>
    </row>
    <row r="11" spans="1:18" ht="24" x14ac:dyDescent="0.2">
      <c r="A11" s="18" t="s">
        <v>3</v>
      </c>
      <c r="C11" s="3" t="s">
        <v>37</v>
      </c>
      <c r="D11" s="3" t="s">
        <v>43</v>
      </c>
      <c r="F11" s="2">
        <v>10</v>
      </c>
      <c r="H11" s="3" t="s">
        <v>42</v>
      </c>
      <c r="I11" s="4" t="s">
        <v>147</v>
      </c>
      <c r="J11" s="1">
        <v>10</v>
      </c>
      <c r="Q11" s="12" t="s">
        <v>251</v>
      </c>
      <c r="R11" s="1"/>
    </row>
    <row r="12" spans="1:18" ht="12" x14ac:dyDescent="0.2">
      <c r="A12" s="18" t="s">
        <v>3</v>
      </c>
      <c r="B12" s="3"/>
      <c r="C12" s="3" t="s">
        <v>377</v>
      </c>
      <c r="D12" s="3"/>
      <c r="E12" s="3"/>
      <c r="F12" s="3" t="s">
        <v>378</v>
      </c>
      <c r="G12" s="3"/>
      <c r="H12" s="3" t="s">
        <v>379</v>
      </c>
      <c r="I12" s="4" t="s">
        <v>151</v>
      </c>
      <c r="J12" s="4">
        <v>11</v>
      </c>
      <c r="K12" s="4"/>
      <c r="L12" s="4"/>
      <c r="M12" s="4"/>
      <c r="N12" s="4"/>
      <c r="O12" s="4"/>
      <c r="P12" s="4"/>
      <c r="Q12" s="15"/>
      <c r="R12" s="1"/>
    </row>
    <row r="13" spans="1:18" ht="24" x14ac:dyDescent="0.2">
      <c r="A13" s="18" t="s">
        <v>3</v>
      </c>
      <c r="B13" s="3" t="s">
        <v>95</v>
      </c>
      <c r="C13" s="3" t="s">
        <v>228</v>
      </c>
      <c r="D13" s="3" t="s">
        <v>229</v>
      </c>
      <c r="E13" s="3"/>
      <c r="F13" s="3" t="s">
        <v>293</v>
      </c>
      <c r="G13" s="3" t="s">
        <v>294</v>
      </c>
      <c r="H13" s="3" t="s">
        <v>230</v>
      </c>
      <c r="I13" s="4" t="s">
        <v>151</v>
      </c>
      <c r="J13" s="4">
        <v>12</v>
      </c>
      <c r="K13" s="4"/>
      <c r="L13" s="4"/>
      <c r="M13" s="4"/>
      <c r="N13" s="4"/>
      <c r="O13" s="4"/>
      <c r="P13" s="4"/>
      <c r="Q13" s="15"/>
      <c r="R13" s="1"/>
    </row>
    <row r="14" spans="1:18" ht="48" x14ac:dyDescent="0.2">
      <c r="A14" s="18"/>
      <c r="B14" s="3" t="s">
        <v>252</v>
      </c>
      <c r="C14" s="3" t="s">
        <v>92</v>
      </c>
      <c r="D14" s="3" t="s">
        <v>383</v>
      </c>
      <c r="E14" s="3"/>
      <c r="F14" s="3" t="s">
        <v>381</v>
      </c>
      <c r="G14" s="3" t="s">
        <v>382</v>
      </c>
      <c r="H14" s="3" t="s">
        <v>253</v>
      </c>
      <c r="I14" s="4" t="s">
        <v>151</v>
      </c>
      <c r="J14" s="4">
        <v>15</v>
      </c>
      <c r="K14" s="4"/>
      <c r="L14" s="4"/>
      <c r="M14" s="4"/>
      <c r="N14" s="4"/>
      <c r="O14" s="4"/>
      <c r="P14" s="4"/>
      <c r="Q14" s="15"/>
      <c r="R14" s="1"/>
    </row>
    <row r="15" spans="1:18" ht="24" x14ac:dyDescent="0.2">
      <c r="A15" s="18" t="s">
        <v>3</v>
      </c>
      <c r="B15" s="3"/>
      <c r="C15" s="3" t="s">
        <v>371</v>
      </c>
      <c r="D15" s="3"/>
      <c r="E15" s="3"/>
      <c r="F15" s="3" t="s">
        <v>372</v>
      </c>
      <c r="G15" s="3"/>
      <c r="H15" s="3"/>
      <c r="I15" s="4" t="s">
        <v>155</v>
      </c>
      <c r="J15" s="4">
        <v>15</v>
      </c>
      <c r="K15" s="4"/>
      <c r="L15" s="4"/>
      <c r="M15" s="4"/>
      <c r="N15" s="4"/>
      <c r="O15" s="4"/>
      <c r="P15" s="4"/>
      <c r="Q15" s="15"/>
      <c r="R15" s="1"/>
    </row>
    <row r="16" spans="1:18" ht="24" x14ac:dyDescent="0.2">
      <c r="A16" s="18"/>
      <c r="B16" s="3" t="s">
        <v>95</v>
      </c>
      <c r="C16" s="3" t="s">
        <v>222</v>
      </c>
      <c r="D16" s="3" t="s">
        <v>386</v>
      </c>
      <c r="E16" s="4"/>
      <c r="F16" s="3" t="s">
        <v>223</v>
      </c>
      <c r="G16" s="4"/>
      <c r="H16" s="4"/>
      <c r="I16" s="4" t="s">
        <v>146</v>
      </c>
      <c r="J16" s="4">
        <v>23</v>
      </c>
      <c r="K16" s="4"/>
      <c r="L16" s="4"/>
      <c r="M16" s="4"/>
      <c r="N16" s="4"/>
      <c r="O16" s="4"/>
      <c r="P16" s="4"/>
      <c r="Q16" s="12"/>
      <c r="R16" s="1"/>
    </row>
    <row r="17" spans="1:18" ht="48" x14ac:dyDescent="0.2">
      <c r="A17" s="18" t="s">
        <v>3</v>
      </c>
      <c r="C17" s="2" t="s">
        <v>10</v>
      </c>
      <c r="D17" s="2" t="s">
        <v>161</v>
      </c>
      <c r="E17" s="2" t="s">
        <v>158</v>
      </c>
      <c r="F17" s="2" t="s">
        <v>159</v>
      </c>
      <c r="G17" s="2" t="s">
        <v>160</v>
      </c>
      <c r="H17" s="3" t="s">
        <v>162</v>
      </c>
      <c r="I17" s="4" t="s">
        <v>146</v>
      </c>
      <c r="J17" s="1">
        <v>28</v>
      </c>
      <c r="K17" s="1">
        <v>3</v>
      </c>
      <c r="N17" s="1">
        <v>1</v>
      </c>
      <c r="Q17" s="14"/>
      <c r="R17" s="1"/>
    </row>
    <row r="18" spans="1:18" ht="24" x14ac:dyDescent="0.2">
      <c r="A18" s="18" t="s">
        <v>3</v>
      </c>
      <c r="B18" s="3"/>
      <c r="C18" s="3" t="s">
        <v>362</v>
      </c>
      <c r="D18" s="3" t="s">
        <v>415</v>
      </c>
      <c r="E18" s="3"/>
      <c r="F18" s="3" t="s">
        <v>384</v>
      </c>
      <c r="G18" s="3" t="s">
        <v>414</v>
      </c>
      <c r="H18" s="3" t="s">
        <v>363</v>
      </c>
      <c r="I18" s="4" t="s">
        <v>146</v>
      </c>
      <c r="J18" s="4">
        <v>32</v>
      </c>
      <c r="K18" s="4"/>
      <c r="L18" s="4"/>
      <c r="M18" s="4"/>
      <c r="N18" s="4"/>
      <c r="O18" s="4"/>
      <c r="P18" s="4"/>
      <c r="Q18" s="15"/>
      <c r="R18" s="1"/>
    </row>
    <row r="19" spans="1:18" ht="36" x14ac:dyDescent="0.2">
      <c r="A19" s="18" t="s">
        <v>3</v>
      </c>
      <c r="B19" s="3"/>
      <c r="C19" s="3" t="s">
        <v>25</v>
      </c>
      <c r="D19" s="3" t="s">
        <v>32</v>
      </c>
      <c r="E19" s="3" t="s">
        <v>29</v>
      </c>
      <c r="F19" s="3" t="s">
        <v>30</v>
      </c>
      <c r="G19" s="3" t="s">
        <v>31</v>
      </c>
      <c r="H19" s="3" t="s">
        <v>27</v>
      </c>
      <c r="I19" s="4" t="s">
        <v>147</v>
      </c>
      <c r="J19" s="4">
        <v>37</v>
      </c>
      <c r="K19" s="4"/>
      <c r="L19" s="4"/>
      <c r="M19" s="4"/>
      <c r="N19" s="4"/>
      <c r="O19" s="4"/>
      <c r="P19" s="4"/>
      <c r="Q19" s="15"/>
      <c r="R19" s="1"/>
    </row>
    <row r="20" spans="1:18" ht="48" x14ac:dyDescent="0.2">
      <c r="A20" s="18" t="s">
        <v>3</v>
      </c>
      <c r="B20" s="2" t="s">
        <v>131</v>
      </c>
      <c r="C20" s="2" t="s">
        <v>133</v>
      </c>
      <c r="D20" s="9" t="s">
        <v>314</v>
      </c>
      <c r="F20" s="3" t="s">
        <v>265</v>
      </c>
      <c r="G20" s="2" t="s">
        <v>266</v>
      </c>
      <c r="H20" s="1" t="s">
        <v>134</v>
      </c>
      <c r="I20" s="4" t="s">
        <v>146</v>
      </c>
      <c r="J20" s="1">
        <v>46</v>
      </c>
      <c r="K20" s="7"/>
      <c r="L20" s="7"/>
      <c r="M20" s="7" t="s">
        <v>320</v>
      </c>
      <c r="N20" s="7"/>
      <c r="O20" s="7"/>
      <c r="P20" s="7"/>
      <c r="Q20" s="13"/>
      <c r="R20" s="1"/>
    </row>
    <row r="21" spans="1:18" ht="72" x14ac:dyDescent="0.2">
      <c r="A21" s="18" t="s">
        <v>3</v>
      </c>
      <c r="B21" s="3" t="s">
        <v>67</v>
      </c>
      <c r="C21" s="3" t="s">
        <v>68</v>
      </c>
      <c r="D21" s="3" t="s">
        <v>325</v>
      </c>
      <c r="E21" s="3" t="s">
        <v>75</v>
      </c>
      <c r="F21" s="3" t="s">
        <v>334</v>
      </c>
      <c r="G21" s="3" t="s">
        <v>337</v>
      </c>
      <c r="H21" s="3" t="s">
        <v>332</v>
      </c>
      <c r="I21" s="4" t="s">
        <v>150</v>
      </c>
      <c r="J21" s="4">
        <v>52</v>
      </c>
      <c r="K21" s="4"/>
      <c r="L21" s="4"/>
      <c r="M21" s="4"/>
      <c r="N21" s="4"/>
      <c r="O21" s="4"/>
      <c r="P21" s="4"/>
      <c r="Q21" s="12"/>
      <c r="R21" s="1"/>
    </row>
    <row r="22" spans="1:18" ht="48" x14ac:dyDescent="0.2">
      <c r="A22" s="17"/>
      <c r="B22" s="2" t="s">
        <v>91</v>
      </c>
      <c r="C22" s="2" t="s">
        <v>179</v>
      </c>
      <c r="D22" s="2" t="s">
        <v>176</v>
      </c>
      <c r="E22" s="2" t="s">
        <v>173</v>
      </c>
      <c r="F22" s="2" t="s">
        <v>174</v>
      </c>
      <c r="G22" s="2" t="s">
        <v>175</v>
      </c>
      <c r="H22" s="4" t="s">
        <v>93</v>
      </c>
      <c r="I22" s="4" t="s">
        <v>146</v>
      </c>
      <c r="J22" s="1">
        <v>78</v>
      </c>
      <c r="M22" s="1">
        <v>330</v>
      </c>
      <c r="Q22" s="13"/>
      <c r="R22" s="1"/>
    </row>
    <row r="23" spans="1:18" ht="24" x14ac:dyDescent="0.2">
      <c r="A23" s="18" t="s">
        <v>3</v>
      </c>
      <c r="B23" s="3" t="s">
        <v>111</v>
      </c>
      <c r="C23" s="3" t="s">
        <v>26</v>
      </c>
      <c r="D23" s="3" t="s">
        <v>385</v>
      </c>
      <c r="E23" s="2" t="s">
        <v>158</v>
      </c>
      <c r="F23" s="3" t="s">
        <v>167</v>
      </c>
      <c r="G23" s="3" t="s">
        <v>168</v>
      </c>
      <c r="H23" s="3" t="s">
        <v>28</v>
      </c>
      <c r="I23" s="4" t="s">
        <v>146</v>
      </c>
      <c r="J23" s="4">
        <v>82</v>
      </c>
      <c r="K23" s="4"/>
      <c r="L23" s="4"/>
      <c r="M23" s="4"/>
      <c r="N23" s="4"/>
      <c r="O23" s="4"/>
      <c r="P23" s="4"/>
      <c r="Q23" s="15"/>
      <c r="R23" s="1"/>
    </row>
    <row r="24" spans="1:18" ht="24" x14ac:dyDescent="0.2">
      <c r="A24" s="24" t="s">
        <v>3</v>
      </c>
      <c r="B24" s="8" t="s">
        <v>95</v>
      </c>
      <c r="C24" s="8" t="s">
        <v>233</v>
      </c>
      <c r="D24" s="3" t="s">
        <v>360</v>
      </c>
      <c r="E24" s="4">
        <v>1881</v>
      </c>
      <c r="F24" s="3" t="s">
        <v>275</v>
      </c>
      <c r="G24" s="8" t="s">
        <v>276</v>
      </c>
      <c r="H24" s="8" t="s">
        <v>235</v>
      </c>
      <c r="I24" s="4" t="s">
        <v>146</v>
      </c>
      <c r="J24" s="4">
        <v>85</v>
      </c>
      <c r="K24" s="4"/>
      <c r="L24" s="4"/>
      <c r="M24" s="4"/>
      <c r="N24" s="4"/>
      <c r="O24" s="4"/>
      <c r="P24" s="4"/>
      <c r="Q24" s="15"/>
      <c r="R24" s="1"/>
    </row>
    <row r="25" spans="1:18" ht="24" x14ac:dyDescent="0.2">
      <c r="A25" s="18" t="s">
        <v>3</v>
      </c>
      <c r="C25" s="3" t="s">
        <v>33</v>
      </c>
      <c r="D25" s="3" t="s">
        <v>41</v>
      </c>
      <c r="E25" s="3" t="s">
        <v>40</v>
      </c>
      <c r="F25" s="3" t="s">
        <v>38</v>
      </c>
      <c r="G25" s="3" t="s">
        <v>39</v>
      </c>
      <c r="H25" s="3" t="s">
        <v>34</v>
      </c>
      <c r="I25" s="4" t="s">
        <v>147</v>
      </c>
      <c r="J25" s="10">
        <v>104</v>
      </c>
      <c r="K25" s="10"/>
      <c r="L25" s="10"/>
      <c r="M25" s="10"/>
      <c r="N25" s="10"/>
      <c r="O25" s="10"/>
      <c r="P25" s="10"/>
      <c r="Q25" s="12"/>
      <c r="R25" s="1"/>
    </row>
    <row r="26" spans="1:18" ht="22.5" customHeight="1" x14ac:dyDescent="0.2">
      <c r="A26" s="18" t="s">
        <v>3</v>
      </c>
      <c r="C26" s="2" t="s">
        <v>64</v>
      </c>
      <c r="D26" s="2" t="s">
        <v>193</v>
      </c>
      <c r="E26" s="2">
        <v>1981</v>
      </c>
      <c r="F26" s="2" t="s">
        <v>191</v>
      </c>
      <c r="G26" s="2" t="s">
        <v>192</v>
      </c>
      <c r="H26" s="1" t="s">
        <v>65</v>
      </c>
      <c r="I26" s="4" t="s">
        <v>150</v>
      </c>
      <c r="J26" s="1">
        <v>110</v>
      </c>
      <c r="Q26" s="13"/>
      <c r="R26" s="1"/>
    </row>
    <row r="27" spans="1:18" ht="32.25" customHeight="1" x14ac:dyDescent="0.2">
      <c r="A27" s="17" t="s">
        <v>3</v>
      </c>
      <c r="C27" s="3" t="s">
        <v>35</v>
      </c>
      <c r="D27" s="3" t="s">
        <v>52</v>
      </c>
      <c r="E27" s="3" t="s">
        <v>157</v>
      </c>
      <c r="F27" s="3">
        <v>115</v>
      </c>
      <c r="G27" s="3" t="s">
        <v>51</v>
      </c>
      <c r="H27" s="3" t="s">
        <v>36</v>
      </c>
      <c r="I27" s="4" t="s">
        <v>147</v>
      </c>
      <c r="J27" s="11">
        <v>115</v>
      </c>
      <c r="K27" s="11"/>
      <c r="L27" s="11"/>
      <c r="M27" s="11"/>
      <c r="N27" s="11"/>
      <c r="O27" s="11"/>
      <c r="P27" s="11"/>
      <c r="Q27" s="13"/>
      <c r="R27" s="1"/>
    </row>
    <row r="28" spans="1:18" ht="24" x14ac:dyDescent="0.2">
      <c r="A28" s="18" t="s">
        <v>3</v>
      </c>
      <c r="B28" s="3" t="s">
        <v>205</v>
      </c>
      <c r="C28" s="3" t="s">
        <v>206</v>
      </c>
      <c r="D28" s="8" t="s">
        <v>207</v>
      </c>
      <c r="E28" s="23"/>
      <c r="F28" s="3" t="s">
        <v>285</v>
      </c>
      <c r="G28" s="4" t="s">
        <v>286</v>
      </c>
      <c r="H28" s="4" t="s">
        <v>137</v>
      </c>
      <c r="I28" s="4" t="s">
        <v>151</v>
      </c>
      <c r="J28" s="4">
        <v>122</v>
      </c>
      <c r="K28" s="4"/>
      <c r="L28" s="4"/>
      <c r="M28" s="4"/>
      <c r="N28" s="4"/>
      <c r="O28" s="4"/>
      <c r="P28" s="4"/>
      <c r="Q28" s="12"/>
      <c r="R28" s="1"/>
    </row>
    <row r="29" spans="1:18" ht="42.75" x14ac:dyDescent="0.25">
      <c r="A29" s="18"/>
      <c r="B29" s="3" t="s">
        <v>131</v>
      </c>
      <c r="C29" s="3" t="s">
        <v>132</v>
      </c>
      <c r="D29" s="3" t="s">
        <v>402</v>
      </c>
      <c r="E29" s="29" t="s">
        <v>339</v>
      </c>
      <c r="F29" s="3" t="s">
        <v>400</v>
      </c>
      <c r="G29" s="3" t="s">
        <v>401</v>
      </c>
      <c r="H29" s="28" t="s">
        <v>338</v>
      </c>
      <c r="I29" s="4" t="s">
        <v>147</v>
      </c>
      <c r="J29" s="4">
        <v>136</v>
      </c>
      <c r="K29" s="4"/>
      <c r="L29" s="4">
        <v>8</v>
      </c>
      <c r="M29" s="4"/>
      <c r="N29" s="4"/>
      <c r="O29" s="4"/>
      <c r="P29" s="4"/>
      <c r="Q29" s="12"/>
      <c r="R29" s="1"/>
    </row>
    <row r="30" spans="1:18" ht="120" x14ac:dyDescent="0.2">
      <c r="A30" s="18"/>
      <c r="C30" s="3" t="s">
        <v>106</v>
      </c>
      <c r="D30" s="2" t="s">
        <v>291</v>
      </c>
      <c r="E30" s="2" t="s">
        <v>287</v>
      </c>
      <c r="F30" s="2" t="s">
        <v>289</v>
      </c>
      <c r="G30" s="2" t="s">
        <v>290</v>
      </c>
      <c r="H30" s="4" t="s">
        <v>288</v>
      </c>
      <c r="I30" s="4" t="s">
        <v>151</v>
      </c>
      <c r="J30" s="1">
        <v>178</v>
      </c>
      <c r="Q30" s="13"/>
      <c r="R30" s="1"/>
    </row>
    <row r="31" spans="1:18" ht="84" x14ac:dyDescent="0.2">
      <c r="A31" s="24" t="s">
        <v>3</v>
      </c>
      <c r="B31" s="8" t="s">
        <v>95</v>
      </c>
      <c r="C31" s="8" t="s">
        <v>224</v>
      </c>
      <c r="D31" s="3" t="s">
        <v>225</v>
      </c>
      <c r="E31" s="8" t="s">
        <v>226</v>
      </c>
      <c r="F31" s="3" t="s">
        <v>271</v>
      </c>
      <c r="G31" s="8" t="s">
        <v>272</v>
      </c>
      <c r="H31" s="8" t="s">
        <v>227</v>
      </c>
      <c r="I31" s="4" t="s">
        <v>146</v>
      </c>
      <c r="J31" s="4">
        <v>187</v>
      </c>
      <c r="K31" s="4"/>
      <c r="L31" s="4">
        <v>10</v>
      </c>
      <c r="M31" s="4"/>
      <c r="N31" s="4"/>
      <c r="O31" s="4"/>
      <c r="P31" s="4"/>
      <c r="Q31" s="15"/>
      <c r="R31" s="1"/>
    </row>
    <row r="32" spans="1:18" ht="36" x14ac:dyDescent="0.2">
      <c r="A32" s="18" t="s">
        <v>3</v>
      </c>
      <c r="C32" s="3" t="s">
        <v>107</v>
      </c>
      <c r="D32" s="2" t="s">
        <v>270</v>
      </c>
      <c r="E32" s="2" t="s">
        <v>268</v>
      </c>
      <c r="F32" s="2" t="s">
        <v>267</v>
      </c>
      <c r="G32" s="2" t="s">
        <v>269</v>
      </c>
      <c r="H32" s="4" t="s">
        <v>109</v>
      </c>
      <c r="I32" s="4" t="s">
        <v>146</v>
      </c>
      <c r="J32" s="1">
        <v>195</v>
      </c>
      <c r="Q32" s="13"/>
      <c r="R32" s="1"/>
    </row>
    <row r="33" spans="1:18" ht="36.75" customHeight="1" x14ac:dyDescent="0.2">
      <c r="A33" s="18" t="s">
        <v>3</v>
      </c>
      <c r="B33" s="4"/>
      <c r="C33" s="3" t="s">
        <v>213</v>
      </c>
      <c r="D33" s="8" t="s">
        <v>336</v>
      </c>
      <c r="E33" s="4"/>
      <c r="F33" s="4" t="s">
        <v>333</v>
      </c>
      <c r="G33" s="4" t="s">
        <v>335</v>
      </c>
      <c r="H33" s="4" t="s">
        <v>214</v>
      </c>
      <c r="I33" s="4" t="s">
        <v>150</v>
      </c>
      <c r="J33" s="4">
        <v>215</v>
      </c>
      <c r="K33" s="4"/>
      <c r="L33" s="4"/>
      <c r="M33" s="4"/>
      <c r="N33" s="4"/>
      <c r="O33" s="4"/>
      <c r="P33" s="4"/>
      <c r="Q33" s="12"/>
      <c r="R33" s="1"/>
    </row>
    <row r="34" spans="1:18" ht="84" x14ac:dyDescent="0.2">
      <c r="A34" s="18"/>
      <c r="B34" s="3"/>
      <c r="C34" s="3" t="s">
        <v>100</v>
      </c>
      <c r="D34" s="3" t="s">
        <v>101</v>
      </c>
      <c r="E34" s="3" t="s">
        <v>102</v>
      </c>
      <c r="F34" s="3" t="s">
        <v>103</v>
      </c>
      <c r="G34" s="3" t="s">
        <v>121</v>
      </c>
      <c r="H34" s="4"/>
      <c r="I34" s="4" t="s">
        <v>155</v>
      </c>
      <c r="J34" s="4">
        <v>220</v>
      </c>
      <c r="K34" s="4"/>
      <c r="L34" s="4"/>
      <c r="M34" s="4">
        <v>50</v>
      </c>
      <c r="N34" s="4"/>
      <c r="O34" s="4"/>
      <c r="P34" s="4"/>
      <c r="Q34" s="12"/>
      <c r="R34" s="1"/>
    </row>
    <row r="35" spans="1:18" ht="72" x14ac:dyDescent="0.2">
      <c r="A35" s="18" t="s">
        <v>3</v>
      </c>
      <c r="B35" s="8" t="s">
        <v>91</v>
      </c>
      <c r="C35" s="8" t="s">
        <v>110</v>
      </c>
      <c r="D35" s="3" t="s">
        <v>311</v>
      </c>
      <c r="E35" s="8" t="s">
        <v>312</v>
      </c>
      <c r="F35" s="3" t="s">
        <v>309</v>
      </c>
      <c r="G35" s="8" t="s">
        <v>310</v>
      </c>
      <c r="H35" s="8" t="s">
        <v>296</v>
      </c>
      <c r="I35" s="4" t="s">
        <v>151</v>
      </c>
      <c r="J35" s="4">
        <v>231</v>
      </c>
      <c r="K35" s="4"/>
      <c r="L35" s="4"/>
      <c r="M35" s="4"/>
      <c r="N35" s="4"/>
      <c r="O35" s="4"/>
      <c r="P35" s="4"/>
      <c r="Q35" s="25"/>
      <c r="R35" s="1"/>
    </row>
    <row r="36" spans="1:18" ht="24" x14ac:dyDescent="0.2">
      <c r="A36" s="18" t="s">
        <v>3</v>
      </c>
      <c r="B36" s="3"/>
      <c r="C36" s="3" t="s">
        <v>208</v>
      </c>
      <c r="D36" s="3" t="s">
        <v>421</v>
      </c>
      <c r="E36" s="3" t="s">
        <v>420</v>
      </c>
      <c r="F36" s="3">
        <v>244</v>
      </c>
      <c r="G36" s="3" t="s">
        <v>277</v>
      </c>
      <c r="H36" s="3" t="s">
        <v>209</v>
      </c>
      <c r="I36" s="4" t="s">
        <v>147</v>
      </c>
      <c r="J36" s="4">
        <v>244</v>
      </c>
      <c r="K36" s="4"/>
      <c r="L36" s="4"/>
      <c r="M36" s="4"/>
      <c r="N36" s="4"/>
      <c r="O36" s="4"/>
      <c r="P36" s="4"/>
      <c r="Q36" s="15"/>
      <c r="R36" s="1"/>
    </row>
    <row r="37" spans="1:18" ht="24" x14ac:dyDescent="0.2">
      <c r="A37" s="18" t="s">
        <v>3</v>
      </c>
      <c r="B37" s="8" t="s">
        <v>95</v>
      </c>
      <c r="C37" s="8" t="s">
        <v>231</v>
      </c>
      <c r="D37" s="3" t="s">
        <v>234</v>
      </c>
      <c r="E37" s="8"/>
      <c r="F37" s="3" t="s">
        <v>273</v>
      </c>
      <c r="G37" s="8" t="s">
        <v>274</v>
      </c>
      <c r="H37" s="8" t="s">
        <v>232</v>
      </c>
      <c r="I37" s="4" t="s">
        <v>146</v>
      </c>
      <c r="J37" s="4">
        <v>289</v>
      </c>
      <c r="K37" s="4"/>
      <c r="L37" s="4"/>
      <c r="M37" s="4"/>
      <c r="N37" s="4"/>
      <c r="O37" s="4"/>
      <c r="P37" s="4"/>
      <c r="Q37" s="15"/>
      <c r="R37" s="1"/>
    </row>
    <row r="38" spans="1:18" ht="72" x14ac:dyDescent="0.2">
      <c r="A38" s="18" t="s">
        <v>3</v>
      </c>
      <c r="B38" s="3"/>
      <c r="C38" s="3" t="s">
        <v>350</v>
      </c>
      <c r="D38" s="3" t="s">
        <v>356</v>
      </c>
      <c r="E38" s="3" t="s">
        <v>351</v>
      </c>
      <c r="F38" s="3" t="s">
        <v>357</v>
      </c>
      <c r="G38" s="3" t="s">
        <v>358</v>
      </c>
      <c r="H38" s="3" t="s">
        <v>343</v>
      </c>
      <c r="I38" s="4" t="s">
        <v>345</v>
      </c>
      <c r="J38" s="4">
        <v>315</v>
      </c>
      <c r="K38" s="4"/>
      <c r="L38" s="4"/>
      <c r="M38" s="4"/>
      <c r="N38" s="4"/>
      <c r="O38" s="4"/>
      <c r="P38" s="4"/>
      <c r="Q38" s="15"/>
      <c r="R38" s="1"/>
    </row>
    <row r="39" spans="1:18" ht="24" x14ac:dyDescent="0.2">
      <c r="A39" s="24" t="s">
        <v>3</v>
      </c>
      <c r="B39" s="3" t="s">
        <v>45</v>
      </c>
      <c r="C39" s="3" t="s">
        <v>112</v>
      </c>
      <c r="D39" s="3" t="s">
        <v>419</v>
      </c>
      <c r="E39" s="3" t="s">
        <v>113</v>
      </c>
      <c r="F39" s="3" t="s">
        <v>418</v>
      </c>
      <c r="G39" s="3" t="s">
        <v>417</v>
      </c>
      <c r="H39" s="8" t="s">
        <v>416</v>
      </c>
      <c r="I39" s="4" t="s">
        <v>146</v>
      </c>
      <c r="J39" s="4">
        <v>350</v>
      </c>
      <c r="K39" s="4"/>
      <c r="L39" s="4"/>
      <c r="M39" s="4"/>
      <c r="N39" s="4"/>
      <c r="O39" s="4"/>
      <c r="P39" s="4"/>
      <c r="Q39" s="12"/>
      <c r="R39" s="1"/>
    </row>
    <row r="40" spans="1:18" ht="105.75" customHeight="1" x14ac:dyDescent="0.2">
      <c r="A40" s="17" t="s">
        <v>3</v>
      </c>
      <c r="C40" s="3" t="s">
        <v>9</v>
      </c>
      <c r="D40" s="3" t="s">
        <v>19</v>
      </c>
      <c r="E40" s="3" t="s">
        <v>18</v>
      </c>
      <c r="F40" s="3" t="s">
        <v>44</v>
      </c>
      <c r="G40" s="2" t="s">
        <v>17</v>
      </c>
      <c r="H40" s="3" t="s">
        <v>20</v>
      </c>
      <c r="I40" s="4" t="s">
        <v>147</v>
      </c>
      <c r="J40" s="4">
        <v>375</v>
      </c>
      <c r="K40" s="4"/>
      <c r="L40" s="4"/>
      <c r="M40" s="4"/>
      <c r="N40" s="4">
        <v>4</v>
      </c>
      <c r="O40" s="4"/>
      <c r="P40" s="4"/>
      <c r="Q40" s="14"/>
      <c r="R40" s="1"/>
    </row>
    <row r="41" spans="1:18" ht="36" x14ac:dyDescent="0.2">
      <c r="A41" s="18" t="s">
        <v>3</v>
      </c>
      <c r="B41" s="3" t="s">
        <v>131</v>
      </c>
      <c r="C41" s="3" t="s">
        <v>135</v>
      </c>
      <c r="D41" s="3" t="s">
        <v>136</v>
      </c>
      <c r="E41" s="3"/>
      <c r="F41" s="3" t="s">
        <v>330</v>
      </c>
      <c r="G41" s="3" t="s">
        <v>331</v>
      </c>
      <c r="H41" s="4" t="s">
        <v>137</v>
      </c>
      <c r="I41" s="4" t="s">
        <v>151</v>
      </c>
      <c r="J41" s="4">
        <v>423</v>
      </c>
      <c r="K41" s="4"/>
      <c r="L41" s="4"/>
      <c r="M41" s="4"/>
      <c r="N41" s="4"/>
      <c r="O41" s="4"/>
      <c r="P41" s="4"/>
      <c r="Q41" s="12"/>
      <c r="R41" s="1"/>
    </row>
    <row r="42" spans="1:18" ht="89.25" customHeight="1" x14ac:dyDescent="0.2">
      <c r="A42" s="19"/>
      <c r="B42" s="20" t="s">
        <v>67</v>
      </c>
      <c r="C42" s="3" t="s">
        <v>69</v>
      </c>
      <c r="D42" s="3" t="s">
        <v>72</v>
      </c>
      <c r="E42" s="3">
        <v>1948</v>
      </c>
      <c r="F42" s="3" t="s">
        <v>77</v>
      </c>
      <c r="G42" s="3"/>
      <c r="H42" s="4"/>
      <c r="I42" s="4" t="s">
        <v>150</v>
      </c>
      <c r="J42" s="4">
        <v>500</v>
      </c>
      <c r="K42" s="4"/>
      <c r="L42" s="4">
        <v>100</v>
      </c>
      <c r="M42" s="4"/>
      <c r="N42" s="4"/>
      <c r="O42" s="4"/>
      <c r="P42" s="4"/>
      <c r="Q42" s="12"/>
      <c r="R42" s="1"/>
    </row>
    <row r="43" spans="1:18" ht="33.75" customHeight="1" x14ac:dyDescent="0.2">
      <c r="A43" s="18" t="s">
        <v>3</v>
      </c>
      <c r="B43" s="3" t="s">
        <v>340</v>
      </c>
      <c r="C43" s="3" t="s">
        <v>353</v>
      </c>
      <c r="D43" s="3" t="s">
        <v>354</v>
      </c>
      <c r="E43" s="3" t="s">
        <v>341</v>
      </c>
      <c r="F43" s="3" t="s">
        <v>342</v>
      </c>
      <c r="G43" s="3" t="s">
        <v>344</v>
      </c>
      <c r="H43" s="3" t="s">
        <v>343</v>
      </c>
      <c r="I43" s="4" t="s">
        <v>345</v>
      </c>
      <c r="J43" s="4">
        <v>522</v>
      </c>
      <c r="K43" s="4"/>
      <c r="L43" s="4"/>
      <c r="M43" s="4"/>
      <c r="N43" s="4"/>
      <c r="O43" s="4"/>
      <c r="P43" s="4"/>
      <c r="Q43" s="15"/>
      <c r="R43" s="1"/>
    </row>
    <row r="44" spans="1:18" ht="53.25" customHeight="1" x14ac:dyDescent="0.2">
      <c r="A44" s="18" t="s">
        <v>3</v>
      </c>
      <c r="B44" s="3" t="s">
        <v>248</v>
      </c>
      <c r="C44" s="3" t="s">
        <v>247</v>
      </c>
      <c r="D44" s="3" t="s">
        <v>80</v>
      </c>
      <c r="E44" s="3" t="s">
        <v>81</v>
      </c>
      <c r="F44" s="3">
        <v>580</v>
      </c>
      <c r="G44" s="3" t="s">
        <v>82</v>
      </c>
      <c r="H44" s="3" t="s">
        <v>249</v>
      </c>
      <c r="I44" s="4" t="s">
        <v>250</v>
      </c>
      <c r="J44" s="4">
        <v>580</v>
      </c>
      <c r="K44" s="4"/>
      <c r="L44" s="4"/>
      <c r="M44" s="4"/>
      <c r="N44" s="4"/>
      <c r="O44" s="4"/>
      <c r="P44" s="4"/>
      <c r="Q44" s="15"/>
      <c r="R44" s="1"/>
    </row>
    <row r="45" spans="1:18" ht="36" customHeight="1" x14ac:dyDescent="0.2">
      <c r="A45" s="18" t="s">
        <v>3</v>
      </c>
      <c r="B45" s="3" t="s">
        <v>45</v>
      </c>
      <c r="C45" s="3" t="s">
        <v>47</v>
      </c>
      <c r="D45" s="3" t="s">
        <v>292</v>
      </c>
      <c r="E45" s="3" t="s">
        <v>49</v>
      </c>
      <c r="F45" s="3" t="s">
        <v>50</v>
      </c>
      <c r="G45" s="3" t="s">
        <v>48</v>
      </c>
      <c r="H45" s="4" t="s">
        <v>46</v>
      </c>
      <c r="I45" s="4" t="s">
        <v>151</v>
      </c>
      <c r="J45" s="4">
        <v>690</v>
      </c>
      <c r="K45" s="4"/>
      <c r="L45" s="4">
        <v>80</v>
      </c>
      <c r="M45" s="4"/>
      <c r="N45" s="4"/>
      <c r="O45" s="4"/>
      <c r="P45" s="4"/>
      <c r="Q45" s="12"/>
      <c r="R45" s="1"/>
    </row>
    <row r="46" spans="1:18" ht="108" x14ac:dyDescent="0.2">
      <c r="A46" s="18" t="s">
        <v>3</v>
      </c>
      <c r="B46" s="8"/>
      <c r="C46" s="8" t="s">
        <v>255</v>
      </c>
      <c r="D46" s="8" t="s">
        <v>304</v>
      </c>
      <c r="E46" s="8" t="s">
        <v>301</v>
      </c>
      <c r="F46" s="8" t="s">
        <v>302</v>
      </c>
      <c r="G46" s="8" t="s">
        <v>303</v>
      </c>
      <c r="H46" s="8" t="s">
        <v>295</v>
      </c>
      <c r="I46" s="4" t="s">
        <v>151</v>
      </c>
      <c r="J46" s="4">
        <v>765</v>
      </c>
      <c r="K46" s="4">
        <v>81</v>
      </c>
      <c r="L46" s="4"/>
      <c r="M46" s="4"/>
      <c r="N46" s="4"/>
      <c r="O46" s="4"/>
      <c r="P46" s="4"/>
      <c r="Q46" s="25"/>
      <c r="R46" s="1"/>
    </row>
    <row r="47" spans="1:18" ht="72" x14ac:dyDescent="0.2">
      <c r="A47" s="18" t="s">
        <v>3</v>
      </c>
      <c r="B47" s="3" t="s">
        <v>91</v>
      </c>
      <c r="C47" s="3" t="s">
        <v>181</v>
      </c>
      <c r="D47" s="3" t="s">
        <v>185</v>
      </c>
      <c r="E47" s="3" t="s">
        <v>182</v>
      </c>
      <c r="F47" s="3" t="s">
        <v>183</v>
      </c>
      <c r="G47" s="3" t="s">
        <v>184</v>
      </c>
      <c r="H47" s="4" t="s">
        <v>94</v>
      </c>
      <c r="I47" s="4" t="s">
        <v>151</v>
      </c>
      <c r="J47" s="4">
        <v>902</v>
      </c>
      <c r="K47" s="4">
        <v>283</v>
      </c>
      <c r="L47" s="4">
        <v>100</v>
      </c>
      <c r="M47" s="4"/>
      <c r="N47" s="4"/>
      <c r="O47" s="4"/>
      <c r="P47" s="4"/>
      <c r="Q47" s="12"/>
      <c r="R47" s="1"/>
    </row>
    <row r="48" spans="1:18" ht="60" x14ac:dyDescent="0.2">
      <c r="A48" s="18" t="s">
        <v>3</v>
      </c>
      <c r="B48" s="3"/>
      <c r="C48" s="3" t="s">
        <v>100</v>
      </c>
      <c r="D48" s="3" t="s">
        <v>101</v>
      </c>
      <c r="E48" s="3" t="s">
        <v>102</v>
      </c>
      <c r="F48" s="3" t="s">
        <v>278</v>
      </c>
      <c r="G48" s="3" t="s">
        <v>279</v>
      </c>
      <c r="H48" s="3" t="s">
        <v>254</v>
      </c>
      <c r="I48" s="4" t="s">
        <v>147</v>
      </c>
      <c r="J48" s="4">
        <v>1146</v>
      </c>
      <c r="K48" s="4">
        <v>4</v>
      </c>
      <c r="L48" s="4">
        <v>3</v>
      </c>
      <c r="M48" s="4">
        <v>58</v>
      </c>
      <c r="N48" s="4">
        <v>3</v>
      </c>
      <c r="O48" s="4"/>
      <c r="P48" s="4"/>
      <c r="Q48" s="15"/>
      <c r="R48" s="1"/>
    </row>
    <row r="49" spans="1:18" ht="72" x14ac:dyDescent="0.2">
      <c r="A49" s="18" t="s">
        <v>3</v>
      </c>
      <c r="B49" s="8" t="s">
        <v>111</v>
      </c>
      <c r="C49" s="8" t="s">
        <v>326</v>
      </c>
      <c r="D49" s="3" t="s">
        <v>256</v>
      </c>
      <c r="E49" s="8" t="s">
        <v>313</v>
      </c>
      <c r="F49" s="3" t="s">
        <v>307</v>
      </c>
      <c r="G49" s="8" t="s">
        <v>308</v>
      </c>
      <c r="H49" s="8" t="s">
        <v>297</v>
      </c>
      <c r="I49" s="4" t="s">
        <v>151</v>
      </c>
      <c r="J49" s="4">
        <v>1335</v>
      </c>
      <c r="K49" s="4"/>
      <c r="L49" s="4">
        <v>28</v>
      </c>
      <c r="M49" s="4"/>
      <c r="N49" s="4"/>
      <c r="O49" s="4"/>
      <c r="P49" s="4"/>
      <c r="Q49" s="25"/>
      <c r="R49" s="1"/>
    </row>
    <row r="50" spans="1:18" ht="60" x14ac:dyDescent="0.2">
      <c r="A50" s="17" t="s">
        <v>3</v>
      </c>
      <c r="B50" s="2" t="s">
        <v>16</v>
      </c>
      <c r="C50" s="2" t="s">
        <v>413</v>
      </c>
      <c r="D50" s="3" t="s">
        <v>24</v>
      </c>
      <c r="E50" s="2" t="s">
        <v>22</v>
      </c>
      <c r="F50" s="3" t="s">
        <v>199</v>
      </c>
      <c r="G50" s="2" t="s">
        <v>23</v>
      </c>
      <c r="H50" s="2" t="s">
        <v>21</v>
      </c>
      <c r="I50" s="4" t="s">
        <v>147</v>
      </c>
      <c r="J50" s="1">
        <v>1500</v>
      </c>
      <c r="L50" s="1">
        <v>120</v>
      </c>
      <c r="Q50" s="13"/>
      <c r="R50" s="1"/>
    </row>
    <row r="51" spans="1:18" ht="24" x14ac:dyDescent="0.2">
      <c r="A51" s="18" t="s">
        <v>3</v>
      </c>
      <c r="B51" s="4"/>
      <c r="C51" s="3" t="s">
        <v>171</v>
      </c>
      <c r="D51" s="3" t="s">
        <v>187</v>
      </c>
      <c r="E51" s="4">
        <v>1950</v>
      </c>
      <c r="F51" s="3" t="s">
        <v>180</v>
      </c>
      <c r="G51" s="4" t="s">
        <v>186</v>
      </c>
      <c r="H51" s="22" t="s">
        <v>172</v>
      </c>
      <c r="I51" s="4" t="s">
        <v>146</v>
      </c>
      <c r="J51" s="4">
        <v>1538</v>
      </c>
      <c r="K51" s="4"/>
      <c r="L51" s="4"/>
      <c r="M51" s="4"/>
      <c r="N51" s="4"/>
      <c r="O51" s="4"/>
      <c r="P51" s="4"/>
      <c r="Q51" s="12"/>
      <c r="R51" s="1"/>
    </row>
    <row r="52" spans="1:18" ht="45" customHeight="1" x14ac:dyDescent="0.2">
      <c r="A52" s="18" t="s">
        <v>56</v>
      </c>
      <c r="B52" s="8" t="s">
        <v>125</v>
      </c>
      <c r="C52" s="8" t="s">
        <v>327</v>
      </c>
      <c r="D52" s="8" t="s">
        <v>424</v>
      </c>
      <c r="E52" s="8" t="s">
        <v>425</v>
      </c>
      <c r="F52" s="8" t="s">
        <v>422</v>
      </c>
      <c r="G52" s="8" t="s">
        <v>423</v>
      </c>
      <c r="H52" s="8" t="s">
        <v>258</v>
      </c>
      <c r="I52" s="4" t="s">
        <v>152</v>
      </c>
      <c r="J52" s="4">
        <v>1547</v>
      </c>
      <c r="K52" s="4">
        <v>50</v>
      </c>
      <c r="L52" s="4"/>
      <c r="M52" s="4"/>
      <c r="N52" s="4"/>
      <c r="O52" s="4"/>
      <c r="P52" s="4"/>
      <c r="Q52" s="25" t="s">
        <v>259</v>
      </c>
      <c r="R52" s="1"/>
    </row>
    <row r="53" spans="1:18" ht="60" x14ac:dyDescent="0.2">
      <c r="A53" s="18" t="s">
        <v>56</v>
      </c>
      <c r="B53" s="8" t="s">
        <v>125</v>
      </c>
      <c r="C53" s="8" t="s">
        <v>431</v>
      </c>
      <c r="D53" s="8" t="s">
        <v>260</v>
      </c>
      <c r="E53" s="8" t="s">
        <v>426</v>
      </c>
      <c r="F53" s="8" t="s">
        <v>427</v>
      </c>
      <c r="G53" s="8" t="s">
        <v>428</v>
      </c>
      <c r="H53" s="8" t="s">
        <v>261</v>
      </c>
      <c r="I53" s="4" t="s">
        <v>152</v>
      </c>
      <c r="J53" s="4">
        <v>1726</v>
      </c>
      <c r="K53" s="4">
        <v>551</v>
      </c>
      <c r="L53" s="4" t="s">
        <v>429</v>
      </c>
      <c r="M53" s="4"/>
      <c r="N53" s="4"/>
      <c r="O53" s="4"/>
      <c r="P53" s="4"/>
      <c r="Q53" s="25" t="s">
        <v>430</v>
      </c>
      <c r="R53" s="1"/>
    </row>
    <row r="54" spans="1:18" ht="108" x14ac:dyDescent="0.2">
      <c r="A54" s="18" t="s">
        <v>3</v>
      </c>
      <c r="B54" s="3"/>
      <c r="C54" s="3" t="s">
        <v>368</v>
      </c>
      <c r="D54" s="3" t="s">
        <v>410</v>
      </c>
      <c r="E54" s="3" t="s">
        <v>408</v>
      </c>
      <c r="F54" s="2" t="s">
        <v>409</v>
      </c>
      <c r="G54" s="3"/>
      <c r="H54" s="3" t="s">
        <v>392</v>
      </c>
      <c r="I54" s="4" t="s">
        <v>151</v>
      </c>
      <c r="J54" s="1">
        <v>2203</v>
      </c>
      <c r="K54" s="4">
        <v>59</v>
      </c>
      <c r="L54" s="4">
        <v>418</v>
      </c>
      <c r="M54" s="4">
        <v>20</v>
      </c>
      <c r="N54" s="4"/>
      <c r="O54" s="4"/>
      <c r="P54" s="4">
        <v>400</v>
      </c>
      <c r="Q54" s="15"/>
      <c r="R54" s="1"/>
    </row>
    <row r="55" spans="1:18" ht="96" x14ac:dyDescent="0.2">
      <c r="A55" s="18"/>
      <c r="B55" s="3" t="s">
        <v>389</v>
      </c>
      <c r="C55" s="3" t="s">
        <v>104</v>
      </c>
      <c r="D55" s="3" t="s">
        <v>411</v>
      </c>
      <c r="E55" s="3" t="s">
        <v>105</v>
      </c>
      <c r="F55" s="3" t="s">
        <v>396</v>
      </c>
      <c r="G55" s="3" t="s">
        <v>399</v>
      </c>
      <c r="H55" s="8" t="s">
        <v>397</v>
      </c>
      <c r="I55" s="4" t="s">
        <v>146</v>
      </c>
      <c r="J55" s="4">
        <v>2637</v>
      </c>
      <c r="K55" s="4"/>
      <c r="L55" s="4"/>
      <c r="M55" s="4"/>
      <c r="N55" s="5"/>
      <c r="O55" s="4">
        <v>413</v>
      </c>
      <c r="P55" s="4"/>
      <c r="Q55" s="12" t="s">
        <v>390</v>
      </c>
      <c r="R55" s="1"/>
    </row>
    <row r="56" spans="1:18" ht="36" x14ac:dyDescent="0.2">
      <c r="A56" s="18"/>
      <c r="B56" s="3" t="s">
        <v>138</v>
      </c>
      <c r="C56" s="3" t="s">
        <v>144</v>
      </c>
      <c r="D56" s="8" t="s">
        <v>139</v>
      </c>
      <c r="E56" s="3" t="s">
        <v>324</v>
      </c>
      <c r="F56" s="4" t="s">
        <v>140</v>
      </c>
      <c r="G56" s="3"/>
      <c r="H56" s="4"/>
      <c r="I56" s="4" t="s">
        <v>155</v>
      </c>
      <c r="J56" s="4">
        <v>3000</v>
      </c>
      <c r="K56" s="4"/>
      <c r="L56" s="4"/>
      <c r="M56" s="4"/>
      <c r="N56" s="4"/>
      <c r="O56" s="4"/>
      <c r="P56" s="4"/>
      <c r="Q56" s="12"/>
      <c r="R56" s="1"/>
    </row>
    <row r="57" spans="1:18" ht="24" x14ac:dyDescent="0.2">
      <c r="A57" s="17" t="s">
        <v>3</v>
      </c>
      <c r="C57" s="2" t="s">
        <v>57</v>
      </c>
      <c r="D57" s="2" t="s">
        <v>197</v>
      </c>
      <c r="E57" s="2" t="s">
        <v>194</v>
      </c>
      <c r="F57" s="2" t="s">
        <v>195</v>
      </c>
      <c r="G57" s="2" t="s">
        <v>196</v>
      </c>
      <c r="H57" s="1" t="s">
        <v>58</v>
      </c>
      <c r="I57" s="4" t="s">
        <v>150</v>
      </c>
      <c r="J57" s="1">
        <v>4237</v>
      </c>
      <c r="Q57" s="13"/>
      <c r="R57" s="1"/>
    </row>
    <row r="58" spans="1:18" ht="72" x14ac:dyDescent="0.2">
      <c r="A58" s="18" t="s">
        <v>3</v>
      </c>
      <c r="B58" s="3"/>
      <c r="C58" s="3" t="s">
        <v>282</v>
      </c>
      <c r="D58" s="8" t="s">
        <v>361</v>
      </c>
      <c r="E58" s="8" t="s">
        <v>281</v>
      </c>
      <c r="F58" s="8" t="s">
        <v>283</v>
      </c>
      <c r="G58" s="8" t="s">
        <v>284</v>
      </c>
      <c r="H58" s="8" t="s">
        <v>280</v>
      </c>
      <c r="I58" s="4" t="s">
        <v>250</v>
      </c>
      <c r="J58" s="4">
        <v>10000</v>
      </c>
      <c r="K58" s="4"/>
      <c r="L58" s="4"/>
      <c r="M58" s="4"/>
      <c r="N58" s="4"/>
      <c r="O58" s="4"/>
      <c r="P58" s="4"/>
      <c r="Q58" s="15"/>
      <c r="R58" s="1"/>
    </row>
    <row r="59" spans="1:18" ht="24" x14ac:dyDescent="0.2">
      <c r="A59" s="19"/>
      <c r="B59" s="20" t="s">
        <v>67</v>
      </c>
      <c r="C59" s="3" t="s">
        <v>70</v>
      </c>
      <c r="D59" s="3" t="s">
        <v>73</v>
      </c>
      <c r="E59" s="3" t="s">
        <v>76</v>
      </c>
      <c r="F59" s="3"/>
      <c r="G59" s="3"/>
      <c r="H59" s="4"/>
      <c r="I59" s="4"/>
      <c r="J59" s="4"/>
      <c r="K59" s="4"/>
      <c r="L59" s="4"/>
      <c r="M59" s="4"/>
      <c r="N59" s="4"/>
      <c r="O59" s="4"/>
      <c r="P59" s="4"/>
      <c r="Q59" s="12"/>
      <c r="R59" s="1"/>
    </row>
    <row r="60" spans="1:18" ht="36" x14ac:dyDescent="0.2">
      <c r="A60" s="18" t="s">
        <v>3</v>
      </c>
      <c r="B60" s="3"/>
      <c r="C60" s="3" t="s">
        <v>373</v>
      </c>
      <c r="D60" s="3" t="s">
        <v>374</v>
      </c>
      <c r="E60" s="3"/>
      <c r="F60" s="3" t="s">
        <v>375</v>
      </c>
      <c r="G60" s="3"/>
      <c r="H60" s="3" t="s">
        <v>376</v>
      </c>
      <c r="I60" s="4" t="s">
        <v>151</v>
      </c>
      <c r="J60" s="4"/>
      <c r="K60" s="4"/>
      <c r="L60" s="4"/>
      <c r="M60" s="4"/>
      <c r="N60" s="4"/>
      <c r="O60" s="4"/>
      <c r="P60" s="4"/>
      <c r="Q60" s="15"/>
      <c r="R60" s="1"/>
    </row>
    <row r="61" spans="1:18" ht="24" x14ac:dyDescent="0.2">
      <c r="A61" s="18" t="s">
        <v>3</v>
      </c>
      <c r="B61" s="3" t="s">
        <v>111</v>
      </c>
      <c r="C61" s="8" t="s">
        <v>387</v>
      </c>
      <c r="D61" s="3"/>
      <c r="E61" s="8" t="s">
        <v>388</v>
      </c>
      <c r="F61" s="3"/>
      <c r="G61" s="8"/>
      <c r="H61" s="8"/>
      <c r="I61" s="4"/>
      <c r="J61" s="4"/>
      <c r="K61" s="4"/>
      <c r="L61" s="4"/>
      <c r="M61" s="4"/>
      <c r="N61" s="4"/>
      <c r="O61" s="4"/>
      <c r="P61" s="4"/>
      <c r="Q61" s="25"/>
      <c r="R61" s="1"/>
    </row>
    <row r="62" spans="1:18" ht="48" x14ac:dyDescent="0.2">
      <c r="A62" s="18" t="s">
        <v>3</v>
      </c>
      <c r="B62" s="3" t="s">
        <v>95</v>
      </c>
      <c r="C62" s="3" t="s">
        <v>236</v>
      </c>
      <c r="D62" s="8" t="s">
        <v>395</v>
      </c>
      <c r="E62" s="3"/>
      <c r="F62" s="3" t="s">
        <v>393</v>
      </c>
      <c r="G62" s="3" t="s">
        <v>394</v>
      </c>
      <c r="H62" s="4" t="s">
        <v>391</v>
      </c>
      <c r="I62" s="4" t="s">
        <v>151</v>
      </c>
      <c r="J62" s="4"/>
      <c r="K62" s="4"/>
      <c r="L62" s="4"/>
      <c r="M62" s="4"/>
      <c r="N62" s="4"/>
      <c r="O62" s="4"/>
      <c r="P62" s="4"/>
      <c r="Q62" s="15"/>
      <c r="R62" s="1"/>
    </row>
    <row r="63" spans="1:18" ht="132" x14ac:dyDescent="0.2">
      <c r="A63" s="17" t="s">
        <v>3</v>
      </c>
      <c r="B63" s="2" t="s">
        <v>45</v>
      </c>
      <c r="C63" s="2" t="s">
        <v>114</v>
      </c>
      <c r="D63" s="2" t="s">
        <v>115</v>
      </c>
      <c r="E63" s="2" t="s">
        <v>116</v>
      </c>
      <c r="F63" s="3" t="s">
        <v>117</v>
      </c>
      <c r="G63" s="3" t="s">
        <v>124</v>
      </c>
      <c r="H63" s="4" t="s">
        <v>118</v>
      </c>
      <c r="I63" s="4" t="s">
        <v>148</v>
      </c>
      <c r="K63" s="1">
        <v>313</v>
      </c>
      <c r="Q63" s="13"/>
      <c r="R63" s="1"/>
    </row>
    <row r="64" spans="1:18" ht="24" x14ac:dyDescent="0.2">
      <c r="A64" s="18" t="s">
        <v>56</v>
      </c>
      <c r="B64" s="3"/>
      <c r="C64" s="3" t="s">
        <v>87</v>
      </c>
      <c r="D64" s="3" t="s">
        <v>88</v>
      </c>
      <c r="E64" s="3" t="s">
        <v>89</v>
      </c>
      <c r="F64" s="3"/>
      <c r="G64" s="3"/>
      <c r="H64" s="4" t="s">
        <v>90</v>
      </c>
      <c r="I64" s="4" t="s">
        <v>152</v>
      </c>
      <c r="J64" s="4"/>
      <c r="K64" s="4"/>
      <c r="L64" s="4"/>
      <c r="M64" s="4"/>
      <c r="N64" s="4"/>
      <c r="O64" s="4"/>
      <c r="P64" s="4"/>
      <c r="Q64" s="12"/>
      <c r="R64" s="1"/>
    </row>
    <row r="65" spans="1:18" ht="48" x14ac:dyDescent="0.2">
      <c r="A65" s="18" t="s">
        <v>56</v>
      </c>
      <c r="B65" s="3" t="s">
        <v>239</v>
      </c>
      <c r="C65" s="3" t="s">
        <v>241</v>
      </c>
      <c r="D65" s="3" t="s">
        <v>242</v>
      </c>
      <c r="E65" s="4"/>
      <c r="F65" s="4"/>
      <c r="G65" s="4"/>
      <c r="H65" s="21" t="s">
        <v>243</v>
      </c>
      <c r="I65" s="4" t="s">
        <v>152</v>
      </c>
      <c r="J65" s="4"/>
      <c r="K65" s="4"/>
      <c r="L65" s="4"/>
      <c r="M65" s="4"/>
      <c r="N65" s="4"/>
      <c r="O65" s="4"/>
      <c r="P65" s="4"/>
      <c r="Q65" s="12"/>
      <c r="R65" s="1"/>
    </row>
    <row r="66" spans="1:18" ht="24" x14ac:dyDescent="0.2">
      <c r="A66" s="18" t="s">
        <v>56</v>
      </c>
      <c r="B66" s="3"/>
      <c r="C66" s="3" t="s">
        <v>60</v>
      </c>
      <c r="D66" s="3"/>
      <c r="E66" s="3"/>
      <c r="F66" s="3"/>
      <c r="G66" s="3"/>
      <c r="H66" s="4" t="s">
        <v>61</v>
      </c>
      <c r="I66" s="4" t="s">
        <v>152</v>
      </c>
      <c r="J66" s="4"/>
      <c r="K66" s="4"/>
      <c r="L66" s="4"/>
      <c r="M66" s="4"/>
      <c r="N66" s="4"/>
      <c r="O66" s="4"/>
      <c r="P66" s="4"/>
      <c r="Q66" s="12"/>
      <c r="R66" s="1"/>
    </row>
    <row r="67" spans="1:18" ht="36" x14ac:dyDescent="0.2">
      <c r="A67" s="18" t="s">
        <v>56</v>
      </c>
      <c r="C67" s="2" t="s">
        <v>54</v>
      </c>
      <c r="D67" s="2" t="s">
        <v>55</v>
      </c>
      <c r="H67" s="1" t="s">
        <v>59</v>
      </c>
      <c r="I67" s="4" t="s">
        <v>152</v>
      </c>
      <c r="Q67" s="13"/>
      <c r="R67" s="1"/>
    </row>
    <row r="68" spans="1:18" ht="24" x14ac:dyDescent="0.2">
      <c r="A68" s="18" t="s">
        <v>56</v>
      </c>
      <c r="B68" s="3" t="s">
        <v>239</v>
      </c>
      <c r="C68" s="21" t="s">
        <v>237</v>
      </c>
      <c r="D68" s="21" t="s">
        <v>238</v>
      </c>
      <c r="E68" s="4"/>
      <c r="F68" s="4"/>
      <c r="G68" s="4"/>
      <c r="H68" s="8" t="s">
        <v>240</v>
      </c>
      <c r="I68" s="4" t="s">
        <v>152</v>
      </c>
      <c r="J68" s="4"/>
      <c r="K68" s="4"/>
      <c r="L68" s="4"/>
      <c r="M68" s="4"/>
      <c r="N68" s="4"/>
      <c r="O68" s="4"/>
      <c r="P68" s="4"/>
      <c r="Q68" s="12"/>
      <c r="R68" s="1"/>
    </row>
    <row r="69" spans="1:18" ht="96" x14ac:dyDescent="0.2">
      <c r="A69" s="18" t="s">
        <v>128</v>
      </c>
      <c r="B69" s="3" t="s">
        <v>45</v>
      </c>
      <c r="C69" s="3" t="s">
        <v>119</v>
      </c>
      <c r="D69" s="3" t="s">
        <v>435</v>
      </c>
      <c r="E69" s="3" t="s">
        <v>434</v>
      </c>
      <c r="F69" s="3" t="s">
        <v>432</v>
      </c>
      <c r="G69" s="3" t="s">
        <v>433</v>
      </c>
      <c r="H69" s="3" t="s">
        <v>120</v>
      </c>
      <c r="I69" s="4" t="s">
        <v>149</v>
      </c>
      <c r="J69" s="4"/>
      <c r="K69" s="4"/>
      <c r="L69" s="4">
        <v>15632</v>
      </c>
      <c r="M69" s="4"/>
      <c r="N69" s="4"/>
      <c r="O69" s="4"/>
      <c r="P69" s="4"/>
      <c r="Q69" s="12"/>
      <c r="R69" s="1"/>
    </row>
    <row r="70" spans="1:18" ht="36" x14ac:dyDescent="0.2">
      <c r="A70" s="18" t="s">
        <v>128</v>
      </c>
      <c r="B70" s="4" t="s">
        <v>202</v>
      </c>
      <c r="C70" s="3" t="s">
        <v>219</v>
      </c>
      <c r="D70" s="8" t="s">
        <v>220</v>
      </c>
      <c r="E70" s="4" t="s">
        <v>201</v>
      </c>
      <c r="F70" s="4" t="s">
        <v>204</v>
      </c>
      <c r="G70" s="4"/>
      <c r="H70" s="4" t="s">
        <v>203</v>
      </c>
      <c r="I70" s="4" t="s">
        <v>149</v>
      </c>
      <c r="J70" s="4"/>
      <c r="K70" s="4"/>
      <c r="L70" s="4"/>
      <c r="M70" s="4">
        <v>595</v>
      </c>
      <c r="N70" s="4"/>
      <c r="O70" s="4"/>
      <c r="P70" s="4"/>
      <c r="Q70" s="12" t="s">
        <v>221</v>
      </c>
      <c r="R70" s="1"/>
    </row>
    <row r="71" spans="1:18" ht="36" x14ac:dyDescent="0.2">
      <c r="A71" s="18" t="s">
        <v>66</v>
      </c>
      <c r="B71" s="4"/>
      <c r="C71" s="3" t="s">
        <v>210</v>
      </c>
      <c r="D71" s="8" t="s">
        <v>211</v>
      </c>
      <c r="E71" s="4"/>
      <c r="F71" s="4"/>
      <c r="G71" s="4"/>
      <c r="H71" s="4" t="s">
        <v>212</v>
      </c>
      <c r="I71" s="4" t="s">
        <v>153</v>
      </c>
      <c r="J71" s="4"/>
      <c r="K71" s="4"/>
      <c r="L71" s="4"/>
      <c r="M71" s="4"/>
      <c r="N71" s="4"/>
      <c r="O71" s="4"/>
      <c r="P71" s="4"/>
      <c r="Q71" s="12"/>
      <c r="R71" s="1"/>
    </row>
    <row r="72" spans="1:18" ht="48" x14ac:dyDescent="0.2">
      <c r="A72" s="18" t="s">
        <v>66</v>
      </c>
      <c r="B72" s="3"/>
      <c r="C72" s="3" t="s">
        <v>62</v>
      </c>
      <c r="D72" s="3"/>
      <c r="E72" s="3"/>
      <c r="F72" s="3"/>
      <c r="G72" s="3"/>
      <c r="H72" s="4" t="s">
        <v>63</v>
      </c>
      <c r="I72" s="4" t="s">
        <v>153</v>
      </c>
      <c r="J72" s="4"/>
      <c r="K72" s="4"/>
      <c r="L72" s="4"/>
      <c r="M72" s="4"/>
      <c r="N72" s="4"/>
      <c r="O72" s="4"/>
      <c r="P72" s="4"/>
      <c r="Q72" s="12"/>
      <c r="R72" s="1"/>
    </row>
    <row r="73" spans="1:18" ht="36" x14ac:dyDescent="0.2">
      <c r="A73" s="18" t="s">
        <v>86</v>
      </c>
      <c r="B73" s="3"/>
      <c r="C73" s="3" t="s">
        <v>126</v>
      </c>
      <c r="D73" s="3" t="s">
        <v>127</v>
      </c>
      <c r="E73" s="3"/>
      <c r="F73" s="3"/>
      <c r="G73" s="3"/>
      <c r="H73" s="4" t="s">
        <v>198</v>
      </c>
      <c r="I73" s="4" t="s">
        <v>154</v>
      </c>
      <c r="J73" s="4"/>
      <c r="K73" s="4"/>
      <c r="L73" s="4"/>
      <c r="M73" s="4"/>
      <c r="N73" s="4"/>
      <c r="O73" s="4"/>
      <c r="P73" s="4"/>
      <c r="Q73" s="12"/>
      <c r="R73" s="1"/>
    </row>
    <row r="74" spans="1:18" ht="36" x14ac:dyDescent="0.2">
      <c r="A74" s="18" t="s">
        <v>86</v>
      </c>
      <c r="B74" s="3"/>
      <c r="C74" s="3" t="s">
        <v>83</v>
      </c>
      <c r="D74" s="3" t="s">
        <v>84</v>
      </c>
      <c r="E74" s="3"/>
      <c r="F74" s="3"/>
      <c r="G74" s="3"/>
      <c r="H74" s="4" t="s">
        <v>85</v>
      </c>
      <c r="I74" s="4" t="s">
        <v>154</v>
      </c>
      <c r="J74" s="4"/>
      <c r="K74" s="4"/>
      <c r="L74" s="4"/>
      <c r="M74" s="4"/>
      <c r="N74" s="4"/>
      <c r="O74" s="4"/>
      <c r="P74" s="4"/>
      <c r="Q74" s="12"/>
      <c r="R74" s="1"/>
    </row>
    <row r="75" spans="1:18" ht="48" x14ac:dyDescent="0.2">
      <c r="A75" s="18" t="s">
        <v>86</v>
      </c>
      <c r="B75" s="3"/>
      <c r="C75" s="3"/>
      <c r="D75" s="3" t="s">
        <v>364</v>
      </c>
      <c r="E75" s="3"/>
      <c r="F75" s="3"/>
      <c r="G75" s="3"/>
      <c r="H75" s="3" t="s">
        <v>365</v>
      </c>
      <c r="I75" s="4" t="s">
        <v>154</v>
      </c>
      <c r="K75" s="4"/>
      <c r="L75" s="4"/>
      <c r="M75" s="4"/>
      <c r="N75" s="4"/>
      <c r="O75" s="4"/>
      <c r="P75" s="4"/>
      <c r="Q75" s="15"/>
      <c r="R75" s="1"/>
    </row>
    <row r="76" spans="1:18" ht="96" x14ac:dyDescent="0.2">
      <c r="A76" s="18"/>
      <c r="B76" s="3" t="s">
        <v>95</v>
      </c>
      <c r="C76" s="3" t="s">
        <v>96</v>
      </c>
      <c r="D76" s="3" t="s">
        <v>97</v>
      </c>
      <c r="E76" s="3" t="s">
        <v>98</v>
      </c>
      <c r="F76" s="3" t="s">
        <v>122</v>
      </c>
      <c r="G76" s="3" t="s">
        <v>123</v>
      </c>
      <c r="H76" s="4" t="s">
        <v>99</v>
      </c>
      <c r="I76" s="4" t="s">
        <v>155</v>
      </c>
      <c r="K76" s="4">
        <v>1092</v>
      </c>
      <c r="L76" s="4"/>
      <c r="M76" s="4"/>
      <c r="N76" s="4"/>
      <c r="O76" s="4"/>
      <c r="P76" s="4"/>
      <c r="Q76" s="12"/>
      <c r="R76" s="1"/>
    </row>
    <row r="77" spans="1:18" ht="12" x14ac:dyDescent="0.2">
      <c r="A77" s="18" t="s">
        <v>3</v>
      </c>
      <c r="B77" s="3"/>
      <c r="C77" s="3"/>
      <c r="D77" s="3"/>
      <c r="E77" s="3"/>
      <c r="F77" s="3"/>
      <c r="G77" s="3"/>
      <c r="H77" s="3"/>
      <c r="I77" s="4"/>
      <c r="J77" s="4"/>
      <c r="K77" s="4"/>
      <c r="L77" s="4"/>
      <c r="M77" s="4"/>
      <c r="N77" s="4"/>
      <c r="O77" s="4"/>
      <c r="P77" s="4"/>
      <c r="Q77" s="15"/>
      <c r="R77" s="1"/>
    </row>
    <row r="78" spans="1:18" ht="12" x14ac:dyDescent="0.2">
      <c r="A78" s="18"/>
      <c r="B78" s="4"/>
      <c r="C78" s="3" t="s">
        <v>217</v>
      </c>
      <c r="D78" s="8" t="s">
        <v>218</v>
      </c>
      <c r="E78" s="4"/>
      <c r="F78" s="4"/>
      <c r="G78" s="4"/>
      <c r="H78" s="4"/>
      <c r="I78" s="4" t="s">
        <v>155</v>
      </c>
      <c r="J78" s="4"/>
      <c r="K78" s="4"/>
      <c r="L78" s="4"/>
      <c r="M78" s="4"/>
      <c r="N78" s="4"/>
      <c r="O78" s="4"/>
      <c r="P78" s="4"/>
      <c r="Q78" s="12"/>
      <c r="R78" s="1"/>
    </row>
    <row r="79" spans="1:18" ht="24" x14ac:dyDescent="0.2">
      <c r="A79" s="19"/>
      <c r="B79" s="20" t="s">
        <v>67</v>
      </c>
      <c r="C79" s="3" t="s">
        <v>71</v>
      </c>
      <c r="D79" s="3" t="s">
        <v>74</v>
      </c>
      <c r="E79" s="3">
        <v>1898</v>
      </c>
      <c r="F79" s="3"/>
      <c r="G79" s="3"/>
      <c r="H79" s="4"/>
      <c r="I79" s="4" t="s">
        <v>155</v>
      </c>
      <c r="J79" s="4"/>
      <c r="K79" s="4"/>
      <c r="L79" s="4"/>
      <c r="M79" s="4"/>
      <c r="N79" s="4"/>
      <c r="O79" s="4"/>
      <c r="P79" s="4"/>
      <c r="Q79" s="12"/>
      <c r="R79" s="1"/>
    </row>
    <row r="80" spans="1:18" x14ac:dyDescent="0.2">
      <c r="A80" s="17"/>
      <c r="C80" s="3" t="s">
        <v>366</v>
      </c>
      <c r="D80" s="2" t="s">
        <v>129</v>
      </c>
      <c r="E80" s="2" t="s">
        <v>130</v>
      </c>
      <c r="I80" s="4" t="s">
        <v>155</v>
      </c>
      <c r="Q80" s="13"/>
      <c r="R80" s="1"/>
    </row>
    <row r="81" spans="1:18" ht="12" x14ac:dyDescent="0.2">
      <c r="A81" s="18"/>
      <c r="B81" s="4"/>
      <c r="C81" s="3" t="s">
        <v>215</v>
      </c>
      <c r="D81" s="8" t="s">
        <v>216</v>
      </c>
      <c r="E81" s="4"/>
      <c r="F81" s="4"/>
      <c r="G81" s="4"/>
      <c r="H81" s="4"/>
      <c r="I81" s="4" t="s">
        <v>155</v>
      </c>
      <c r="J81" s="4"/>
      <c r="K81" s="4"/>
      <c r="L81" s="4"/>
      <c r="M81" s="4"/>
      <c r="N81" s="4"/>
      <c r="O81" s="4"/>
      <c r="P81" s="4"/>
      <c r="Q81" s="12"/>
      <c r="R81" s="1"/>
    </row>
    <row r="82" spans="1:18" ht="24" x14ac:dyDescent="0.2">
      <c r="A82" s="18"/>
      <c r="B82" s="4" t="s">
        <v>138</v>
      </c>
      <c r="C82" s="4" t="s">
        <v>141</v>
      </c>
      <c r="D82" s="8" t="s">
        <v>142</v>
      </c>
      <c r="E82" s="4" t="s">
        <v>6</v>
      </c>
      <c r="F82" s="4" t="s">
        <v>143</v>
      </c>
      <c r="G82" s="4"/>
      <c r="H82" s="21"/>
      <c r="I82" s="4" t="s">
        <v>155</v>
      </c>
      <c r="J82" s="4"/>
      <c r="K82" s="4">
        <v>600</v>
      </c>
      <c r="L82" s="4"/>
      <c r="M82" s="4"/>
      <c r="N82" s="4"/>
      <c r="O82" s="4"/>
      <c r="P82" s="4"/>
      <c r="Q82" s="12"/>
      <c r="R82" s="1"/>
    </row>
    <row r="83" spans="1:18" ht="36" x14ac:dyDescent="0.2">
      <c r="A83" s="18"/>
      <c r="B83" s="4"/>
      <c r="C83" s="3" t="s">
        <v>78</v>
      </c>
      <c r="D83" s="8" t="s">
        <v>79</v>
      </c>
      <c r="E83" s="4" t="s">
        <v>369</v>
      </c>
      <c r="F83" s="4"/>
      <c r="G83" s="4"/>
      <c r="H83" s="4"/>
      <c r="I83" s="4" t="s">
        <v>155</v>
      </c>
      <c r="J83" s="4"/>
      <c r="K83" s="4"/>
      <c r="L83" s="4"/>
      <c r="M83" s="4"/>
      <c r="N83" s="4"/>
      <c r="O83" s="4"/>
      <c r="P83" s="4"/>
      <c r="Q83" s="30" t="s">
        <v>370</v>
      </c>
      <c r="R83" s="1"/>
    </row>
    <row r="84" spans="1:18" ht="13.5" x14ac:dyDescent="0.2">
      <c r="A84" s="18"/>
      <c r="B84" s="8"/>
      <c r="C84" s="8"/>
      <c r="D84" s="8" t="s">
        <v>262</v>
      </c>
      <c r="E84" s="8" t="s">
        <v>328</v>
      </c>
      <c r="F84" s="8"/>
      <c r="G84" s="8"/>
      <c r="H84" s="8" t="s">
        <v>263</v>
      </c>
      <c r="I84" s="4" t="s">
        <v>155</v>
      </c>
      <c r="J84" s="4"/>
      <c r="K84" s="4"/>
      <c r="L84" s="4"/>
      <c r="M84" s="4"/>
      <c r="N84" s="4"/>
      <c r="O84" s="4"/>
      <c r="P84" s="4"/>
      <c r="Q84" s="25"/>
      <c r="R84" s="1"/>
    </row>
    <row r="85" spans="1:18" ht="14.25" thickBot="1" x14ac:dyDescent="0.25">
      <c r="A85" s="26"/>
      <c r="B85" s="32"/>
      <c r="C85" s="32"/>
      <c r="D85" s="32" t="s">
        <v>264</v>
      </c>
      <c r="E85" s="32"/>
      <c r="F85" s="32"/>
      <c r="G85" s="32"/>
      <c r="H85" s="32" t="s">
        <v>329</v>
      </c>
      <c r="I85" s="27" t="s">
        <v>155</v>
      </c>
      <c r="J85" s="27"/>
      <c r="K85" s="27"/>
      <c r="L85" s="27"/>
      <c r="M85" s="27"/>
      <c r="N85" s="27"/>
      <c r="O85" s="27"/>
      <c r="P85" s="27"/>
      <c r="Q85" s="33"/>
      <c r="R85" s="1"/>
    </row>
    <row r="86" spans="1:18" x14ac:dyDescent="0.2">
      <c r="A86" s="16" t="s">
        <v>321</v>
      </c>
      <c r="C86" s="2" t="s">
        <v>322</v>
      </c>
      <c r="J86" s="1">
        <f>SUM(Tableau2[Volume total - Photographie])</f>
        <v>39208</v>
      </c>
      <c r="K86" s="1">
        <f>SUM(Tableau2[Volume total - Plaque de verre])</f>
        <v>3090</v>
      </c>
      <c r="L86" s="1">
        <f>SUM(Tableau2[Volume total - Négatif])</f>
        <v>16539</v>
      </c>
      <c r="M86" s="1">
        <f>SUM(Tableau2[Volume total - Carte postale])</f>
        <v>1053</v>
      </c>
      <c r="N86" s="1">
        <f>SUM(Tableau2[Volume total - Daguérrotype])</f>
        <v>8</v>
      </c>
      <c r="O86" s="1">
        <f>SUM(Tableau2[Planches contact])</f>
        <v>413</v>
      </c>
      <c r="P86" s="1" t="s">
        <v>412</v>
      </c>
      <c r="Q86" s="13">
        <f>SUM(J86:L86,N86,O86)</f>
        <v>59258</v>
      </c>
    </row>
    <row r="88" spans="1:18" ht="300" x14ac:dyDescent="0.2">
      <c r="C88" s="3" t="s">
        <v>145</v>
      </c>
    </row>
  </sheetData>
  <phoneticPr fontId="0" type="noConversion"/>
  <printOptions gridLines="1" gridLinesSet="0"/>
  <pageMargins left="0.78740157499999996" right="0.78740157499999996" top="0.984251969" bottom="0.984251969" header="0.4921259845" footer="0.4921259845"/>
  <pageSetup paperSize="9" orientation="portrait" horizontalDpi="4294967292" verticalDpi="300"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Margaron Romain</dc:creator>
  <cp:lastModifiedBy>Margaron Romain</cp:lastModifiedBy>
  <dcterms:created xsi:type="dcterms:W3CDTF">1996-03-19T10:39:18Z</dcterms:created>
  <dcterms:modified xsi:type="dcterms:W3CDTF">2026-07-07T09:15:46Z</dcterms:modified>
</cp:coreProperties>
</file>