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iku\Documents\Memoire_RM\inventaires\inventaire_bpun\"/>
    </mc:Choice>
  </mc:AlternateContent>
  <xr:revisionPtr revIDLastSave="0" documentId="13_ncr:1_{78DA26D5-003B-414D-9954-FC920B48AD22}" xr6:coauthVersionLast="47" xr6:coauthVersionMax="47" xr10:uidLastSave="{00000000-0000-0000-0000-000000000000}"/>
  <bookViews>
    <workbookView xWindow="3948" yWindow="17172" windowWidth="21336" windowHeight="11376" xr2:uid="{00000000-000D-0000-FFFF-FFFF00000000}"/>
  </bookViews>
  <sheets>
    <sheet name="inventaire de la base de donnée" sheetId="1" r:id="rId1"/>
    <sheet name="Ligne avec photos PDF" sheetId="2" r:id="rId2"/>
  </sheets>
  <definedNames>
    <definedName name="_ftn1" localSheetId="0">'inventaire de la base de donnée'!#REF!</definedName>
    <definedName name="_ftnref1" localSheetId="0">'inventaire de la base de donnée'!#REF!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7" i="1" l="1"/>
  <c r="M97" i="1"/>
  <c r="L97" i="1" l="1"/>
  <c r="K97" i="1"/>
  <c r="J97" i="1"/>
  <c r="I97" i="1"/>
  <c r="P97" i="1" l="1"/>
</calcChain>
</file>

<file path=xl/sharedStrings.xml><?xml version="1.0" encoding="utf-8"?>
<sst xmlns="http://schemas.openxmlformats.org/spreadsheetml/2006/main" count="480" uniqueCount="214">
  <si>
    <t xml:space="preserve">Volume </t>
  </si>
  <si>
    <t>Type d'image/photo</t>
  </si>
  <si>
    <t>Type de fonds</t>
  </si>
  <si>
    <t>Remarques</t>
  </si>
  <si>
    <t>Volume total - Photographie</t>
  </si>
  <si>
    <t>Volume total - Plaque de verre</t>
  </si>
  <si>
    <t>Volume total - Négatif</t>
  </si>
  <si>
    <t>Volume total - Carte postale</t>
  </si>
  <si>
    <t>Divers fonds</t>
  </si>
  <si>
    <t>Planches contact</t>
  </si>
  <si>
    <t>Diapositive</t>
  </si>
  <si>
    <t>400</t>
  </si>
  <si>
    <t>Volume total - Daguérrotype</t>
  </si>
  <si>
    <t xml:space="preserve"> Fonds</t>
  </si>
  <si>
    <t>Dates max</t>
  </si>
  <si>
    <t>Dates min</t>
  </si>
  <si>
    <t>Lien flora</t>
  </si>
  <si>
    <t>Archives d'associations </t>
  </si>
  <si>
    <t>Fonds Section neuchâteloise des Amies de la Jeune fille (1876 - 2001)</t>
  </si>
  <si>
    <t>https://floraweb.ne.ch/flora/ark:/37964/001364044</t>
  </si>
  <si>
    <t>Fonds Fondation Hermann Russ / Petit ami des animaux</t>
  </si>
  <si>
    <t>https://floraweb.ne.ch/flora/ark:/37964/001285664</t>
  </si>
  <si>
    <t>https://floraweb.ne.ch/flora/ark:/37964/001288080</t>
  </si>
  <si>
    <t>Fonds Société Etude (1877 - 2021) </t>
  </si>
  <si>
    <t>Fonds Société de musique de Neuchâtel</t>
  </si>
  <si>
    <t>Fonds Société neuchâteloise de géographie</t>
  </si>
  <si>
    <t>https://floraweb.ne.ch/flora/ark:/37964/001247074</t>
  </si>
  <si>
    <t>inventaire détaillé</t>
  </si>
  <si>
    <t>Non</t>
  </si>
  <si>
    <t>Verre</t>
  </si>
  <si>
    <t>Photographie</t>
  </si>
  <si>
    <t>Oui - correspondance + manuscrit, pas photo</t>
  </si>
  <si>
    <t>Fonds Société suisse de chronométrie</t>
  </si>
  <si>
    <t>https://floraweb.ne.ch/flora/ark:/37964/001728743</t>
  </si>
  <si>
    <t>Archives d'entreprises</t>
  </si>
  <si>
    <t>Fonds Editions de la Baconnière</t>
  </si>
  <si>
    <t>https://floraweb.ne.ch/flora/ark:/37964/001341909</t>
  </si>
  <si>
    <t>Fonds Baconnière</t>
  </si>
  <si>
    <t>89. 1 dossier contenant des photographies</t>
  </si>
  <si>
    <t>114. 1 chemise avec photographies</t>
  </si>
  <si>
    <t>Nom du fonds</t>
  </si>
  <si>
    <t>ligne de l'inventaire détaillé</t>
  </si>
  <si>
    <t>Fonds Comminot optique</t>
  </si>
  <si>
    <t>https://floraweb.ne.ch/flora/ark:/37964/001325982</t>
  </si>
  <si>
    <t>Fonds Famille Marthe</t>
  </si>
  <si>
    <t>https://floraweb.ne.ch/flora/ark:/37964/001278733</t>
  </si>
  <si>
    <t>https://floraweb.ne.ch/flora/ark:/37964/001245566</t>
  </si>
  <si>
    <t>Fonds Editions Victor Attinger</t>
  </si>
  <si>
    <t>Archives personnelles</t>
  </si>
  <si>
    <t>https://floraweb.ne.ch/flora/ark:/37964/001229752</t>
  </si>
  <si>
    <t>Fonds Auguste Bachelin</t>
  </si>
  <si>
    <t>Photographies</t>
  </si>
  <si>
    <t>https://floraweb.ne.ch/flora/ark:/37964/001231097</t>
  </si>
  <si>
    <t>Fonds Alice Caselmann</t>
  </si>
  <si>
    <t>Fonds André Labhardt</t>
  </si>
  <si>
    <t>https://floraweb.ne.ch/flora/ark:/37964/001242700</t>
  </si>
  <si>
    <t>Fonds Anne-Marie Quadri</t>
  </si>
  <si>
    <t>https://floraweb.ne.ch/flora/ark:/37964/001242702</t>
  </si>
  <si>
    <t>Fonds Alice Perrenoud</t>
  </si>
  <si>
    <t>https://floraweb.ne.ch/flora/ark:/37964/001723905</t>
  </si>
  <si>
    <t>Fonds André Pierre-Humbert</t>
  </si>
  <si>
    <t>https://floraweb.ne.ch/flora/ark:/37964/001242703</t>
  </si>
  <si>
    <t>Fonds Arthur Piaget</t>
  </si>
  <si>
    <t>https://floraweb.ne.ch/flora/ark:/37964/001242704</t>
  </si>
  <si>
    <t>Fonds Louis Benoît père et fils</t>
  </si>
  <si>
    <t>https://floraweb.ne.ch/flora/ark:/37964/001237407</t>
  </si>
  <si>
    <t>Fonds Alex Billeter</t>
  </si>
  <si>
    <t>https://floraweb.ne.ch/flora/ark:/37964/001251835</t>
  </si>
  <si>
    <t>Fonds Bretscher reliure</t>
  </si>
  <si>
    <t>https://floraweb.ne.ch/flora/ark:/37964/001714169</t>
  </si>
  <si>
    <t>Fonds Charles-Edouard Bovet et famille</t>
  </si>
  <si>
    <t>https://floraweb.ne.ch/flora/ark:/37964/001381075</t>
  </si>
  <si>
    <t>Fonds Charles Prince</t>
  </si>
  <si>
    <t>https://floraweb.ne.ch/flora/ark:/37964/001242710</t>
  </si>
  <si>
    <t>Fonds Charly Clerc</t>
  </si>
  <si>
    <t>https://floraweb.ne.ch/flora/ark:/37964/001237409</t>
  </si>
  <si>
    <t>Fonds Claude Pahud</t>
  </si>
  <si>
    <t>https://floraweb.ne.ch/flora/ark:/37964/001313617</t>
  </si>
  <si>
    <t>Fonds Claire Rosselet</t>
  </si>
  <si>
    <t>https://floraweb.ne.ch/flora/ark:/37964/001369202</t>
  </si>
  <si>
    <t>Fonds Eric de Coulon</t>
  </si>
  <si>
    <t>https://floraweb.ne.ch/flora/ark:/37964/001228863</t>
  </si>
  <si>
    <t>https://floraweb.ne.ch/flora/ark:/37964/001379383</t>
  </si>
  <si>
    <t>Fonds Charles Robert</t>
  </si>
  <si>
    <t>Fonds Daniel Vouga</t>
  </si>
  <si>
    <t>https://floraweb.ne.ch/flora/ark:/37964/001242714</t>
  </si>
  <si>
    <t>Fonds Edouard Desor</t>
  </si>
  <si>
    <t>https://floraweb.ne.ch/flora/ark:/37964/001231407</t>
  </si>
  <si>
    <t>Fonds Edith Boissonnas</t>
  </si>
  <si>
    <t>https://floraweb.ne.ch/flora/ark:/37964/001228786</t>
  </si>
  <si>
    <t>Fonds Emile Brodbeck</t>
  </si>
  <si>
    <t>https://floraweb.ne.ch/flora/ark:/37964/001246319</t>
  </si>
  <si>
    <t>Fonds Edouard Fallet</t>
  </si>
  <si>
    <t>https://floraweb.ne.ch/flora/ark:/37964/001359911</t>
  </si>
  <si>
    <t>Fonds Elisée Reclus</t>
  </si>
  <si>
    <t>https://floraweb.ne.ch/flora/ark:/37964/001242716</t>
  </si>
  <si>
    <t>Fonds Jean-Marc Elzingre</t>
  </si>
  <si>
    <t>https://floraweb.ne.ch/flora/ark:/37964/001228853</t>
  </si>
  <si>
    <t>Fonds Ernest Bauermeister</t>
  </si>
  <si>
    <t>https://floraweb.ne.ch/flora/ark:/37964/001354525</t>
  </si>
  <si>
    <t>Fonds Eric Lugin</t>
  </si>
  <si>
    <t>https://floraweb.ne.ch/flora/ark:/37964/001356906</t>
  </si>
  <si>
    <t>Fonds Eric Robert-Tissot</t>
  </si>
  <si>
    <t>https://floraweb.ne.ch/flora/ark:/37964/001242720</t>
  </si>
  <si>
    <t>Fonds Eugène Jaquet</t>
  </si>
  <si>
    <t>https://floraweb.ne.ch/flora/ark:/37964/001297385</t>
  </si>
  <si>
    <t>Fonds Félix Bovet</t>
  </si>
  <si>
    <t>https://floraweb.ne.ch/flora/ark:/37964/001231088</t>
  </si>
  <si>
    <t>https://floraweb.ne.ch/flora/ark:/37964/001377629</t>
  </si>
  <si>
    <t>Fonds Famille Junod</t>
  </si>
  <si>
    <t>Fonds Fernand Morel</t>
  </si>
  <si>
    <t>https://floraweb.ne.ch/flora/ark:/37964/001242725</t>
  </si>
  <si>
    <t>Fonds Fritz Berthoud</t>
  </si>
  <si>
    <t>https://floraweb.ne.ch/flora/ark:/37964/001280141</t>
  </si>
  <si>
    <t>Fonds François Borel</t>
  </si>
  <si>
    <t>https://floraweb.ne.ch/flora/ark:/37964/001230835</t>
  </si>
  <si>
    <t>Fonds Famille Ritter</t>
  </si>
  <si>
    <t>https://floraweb.ne.ch/flora/ark:/37964/001300798</t>
  </si>
  <si>
    <t>Fonds Frédéric Uhler</t>
  </si>
  <si>
    <t>https://floraweb.ne.ch/flora/ark:/37964/001242726</t>
  </si>
  <si>
    <t>Fonds Famille Wavre</t>
  </si>
  <si>
    <t>https://floraweb.ne.ch/flora/ark:/37964/001293818</t>
  </si>
  <si>
    <t>Fonds Gérard Buchet</t>
  </si>
  <si>
    <t>https://floraweb.ne.ch/flora/ark:/37964/001271178</t>
  </si>
  <si>
    <t>Fonds Georges Dubois</t>
  </si>
  <si>
    <t>https://floraweb.ne.ch/flora/ark:/37964/001722139</t>
  </si>
  <si>
    <t>Fonds Gérald L'Eplattenier</t>
  </si>
  <si>
    <t>https://floraweb.ne.ch/flora/ark:/37964/001377706</t>
  </si>
  <si>
    <t>Fonds Famille Guébhard</t>
  </si>
  <si>
    <t>https://floraweb.ne.ch/flora/ark:/37964/001231962</t>
  </si>
  <si>
    <t>Fonds Henri-Auguste Cartier</t>
  </si>
  <si>
    <t>https://floraweb.ne.ch/flora/ark:/37964/001288247</t>
  </si>
  <si>
    <t>Fonds Henri Gerber</t>
  </si>
  <si>
    <t>https://floraweb.ne.ch/flora/ark:/37964/001314907</t>
  </si>
  <si>
    <t>Fonds Henri Guye</t>
  </si>
  <si>
    <t>https://floraweb.ne.ch/flora/ark:/37964/001714336</t>
  </si>
  <si>
    <t>Fonds Henriette Piaget</t>
  </si>
  <si>
    <t>https://floraweb.ne.ch/flora/ark:/37964/001385198</t>
  </si>
  <si>
    <t>Fonds Henri Wolfrath</t>
  </si>
  <si>
    <t>https://floraweb.ne.ch/flora/ark:/37964/001242733</t>
  </si>
  <si>
    <t>Fonds Jacques Rychner</t>
  </si>
  <si>
    <t>https://floraweb.ne.ch/flora/ark:/37964/001339105</t>
  </si>
  <si>
    <t>Fonds Jean-Claude Nicolet</t>
  </si>
  <si>
    <t>https://floraweb.ne.ch/flora/ark:/37964/001242740</t>
  </si>
  <si>
    <t>Fonds Julien Dunilac</t>
  </si>
  <si>
    <t>https://floraweb.ne.ch/flora/ark:/37964/001231751</t>
  </si>
  <si>
    <t>Fonds Jeanne Billeter</t>
  </si>
  <si>
    <t>https://floraweb.ne.ch/flora/ark:/37964/001243879</t>
  </si>
  <si>
    <t>Fonds Jean Nyder</t>
  </si>
  <si>
    <t>https://floraweb.ne.ch/flora/ark:/37964/001298102</t>
  </si>
  <si>
    <t>Fonds John Jeanprêtre</t>
  </si>
  <si>
    <t>https://floraweb.ne.ch/flora/ark:/37964/001242745</t>
  </si>
  <si>
    <t>Fonds Jean-Pierre Baillod</t>
  </si>
  <si>
    <t>https://floraweb.ne.ch/flora/ark:/37964/001230831</t>
  </si>
  <si>
    <t>Fonds Jean-Paul Comtesse</t>
  </si>
  <si>
    <t>https://floraweb.ne.ch/flora/ark:/37964/001231110</t>
  </si>
  <si>
    <t>Fonds Jean-Pierre Porret</t>
  </si>
  <si>
    <t>https://floraweb.ne.ch/flora/ark:/37964/001242746</t>
  </si>
  <si>
    <t>Fonds Jean-Rodolphe Laederach</t>
  </si>
  <si>
    <t>https://floraweb.ne.ch/flora/ark:/37964/001341478</t>
  </si>
  <si>
    <t>Fonds Louis Favre</t>
  </si>
  <si>
    <t>https://floraweb.ne.ch/flora/ark:/37964/001237243</t>
  </si>
  <si>
    <t>Fonds Léo-Paul Robert</t>
  </si>
  <si>
    <t>https://floraweb.ne.ch/flora/ark:/37964/001230075</t>
  </si>
  <si>
    <t>Fonds Maurice Zundel</t>
  </si>
  <si>
    <t>https://floraweb.ne.ch/flora/ark:/37964/001259188</t>
  </si>
  <si>
    <t>Fonds Maurice Bavaud</t>
  </si>
  <si>
    <t>https://floraweb.ne.ch/flora/ark:/37964/001252294</t>
  </si>
  <si>
    <t>Fonds Maurice Neeser</t>
  </si>
  <si>
    <t>https://floraweb.ne.ch/flora/ark:/37964/001243985</t>
  </si>
  <si>
    <t>Fonds Max Niedermann</t>
  </si>
  <si>
    <t>https://floraweb.ne.ch/flora/ark:/37964/001296702</t>
  </si>
  <si>
    <t>https://floraweb.ne.ch/flora/ark:/37964/001348042</t>
  </si>
  <si>
    <t>Fonds Monique Laederach</t>
  </si>
  <si>
    <t>Fonds Famille Monvert</t>
  </si>
  <si>
    <t>https://floraweb.ne.ch/flora/ark:/37964/001268128</t>
  </si>
  <si>
    <t>Fonds Nancy Vuille</t>
  </si>
  <si>
    <t>https://floraweb.ne.ch/flora/ark:/37964/001300200</t>
  </si>
  <si>
    <t>Fonds Emile-Albert Niklaus</t>
  </si>
  <si>
    <t>https://floraweb.ne.ch/flora/ark:/37964/001289232</t>
  </si>
  <si>
    <t>Fonds Oscar Huguenin</t>
  </si>
  <si>
    <t>https://floraweb.ne.ch/flora/ark:/37964/001316376</t>
  </si>
  <si>
    <t>Fonds Paul Baillod</t>
  </si>
  <si>
    <t>https://floraweb.ne.ch/flora/ark:/37964/001275033</t>
  </si>
  <si>
    <t>Fonds Pierrette Favarger</t>
  </si>
  <si>
    <t>https://floraweb.ne.ch/flora/ark:/37964/001324643</t>
  </si>
  <si>
    <t>Fonds Pierre Lavanchy</t>
  </si>
  <si>
    <t>https://floraweb.ne.ch/flora/ark:/37964/001386756</t>
  </si>
  <si>
    <t>Fonds Pierre Jaquillard</t>
  </si>
  <si>
    <t>https://floraweb.ne.ch/flora/ark:/37964/001242757</t>
  </si>
  <si>
    <t>Fonds Pierre-Louis Borel</t>
  </si>
  <si>
    <t>https://floraweb.ne.ch/flora/ark:/37964/001231082</t>
  </si>
  <si>
    <t>Fonds Roger Montandon</t>
  </si>
  <si>
    <t>https://floraweb.ne.ch/flora/ark:/37964/001243078</t>
  </si>
  <si>
    <t>Fonds Edouard Rott</t>
  </si>
  <si>
    <t>https://floraweb.ne.ch/flora/ark:/37964/001242761</t>
  </si>
  <si>
    <t>Fonds Ruth Schmid-Gagnebin</t>
  </si>
  <si>
    <t>https://floraweb.ne.ch/flora/ark:/37964/001243990</t>
  </si>
  <si>
    <t>Fonds Samuel Gagnebin</t>
  </si>
  <si>
    <t>https://floraweb.ne.ch/flora/ark:/37964/001295350</t>
  </si>
  <si>
    <t>Fonds Willy Prestre</t>
  </si>
  <si>
    <t>https://floraweb.ne.ch/flora/ark:/37964/001285507</t>
  </si>
  <si>
    <t>Fonds William Ritter</t>
  </si>
  <si>
    <t>https://floraweb.ne.ch/flora/ark:/37964/001238395</t>
  </si>
  <si>
    <t>Oui</t>
  </si>
  <si>
    <t>Fonds Willy Russ</t>
  </si>
  <si>
    <t>https://floraweb.ne.ch/flora/ark:/37964/001242766</t>
  </si>
  <si>
    <t>Fonds Willy Schmid</t>
  </si>
  <si>
    <t>https://floraweb.ne.ch/flora/ark:/37964/001242767</t>
  </si>
  <si>
    <t>Collection Manuscrit isolés</t>
  </si>
  <si>
    <t>Albums de souvenirs d'Auguste Guillaume</t>
  </si>
  <si>
    <t>https://floraweb.ne.ch/flora/ark:/37964/001372059</t>
  </si>
  <si>
    <t>Fonds Cilette Ofaire</t>
  </si>
  <si>
    <t>https://floraweb.ne.ch/flora/ark:/37964/001229650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</si>
</sst>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9"/>
      <name val="Arial"/>
    </font>
    <font>
      <sz val="10"/>
      <name val="Calibri"/>
      <family val="2"/>
    </font>
    <font>
      <sz val="9"/>
      <name val="Arial"/>
      <family val="2"/>
    </font>
    <font>
      <sz val="10"/>
      <name val="Arial"/>
      <family val="2"/>
    </font>
    <font>
      <sz val="9"/>
      <name val="Segoe UI"/>
      <family val="2"/>
    </font>
    <font>
      <sz val="10"/>
      <color rgb="FF000000"/>
      <name val="Segoe UI"/>
      <family val="2"/>
    </font>
    <font>
      <b/>
      <sz val="10"/>
      <name val="Segoe UI"/>
      <family val="2"/>
    </font>
    <font>
      <b/>
      <sz val="10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0" xfId="0" applyFont="1"/>
    <xf numFmtId="0" fontId="4" fillId="0" borderId="0" xfId="0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5" fillId="0" borderId="0" xfId="0" applyFont="1"/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/>
  </cellXfs>
  <cellStyles count="1">
    <cellStyle name="Normal" xfId="0" builtinId="0"/>
  </cellStyles>
  <dxfs count="34">
    <dxf>
      <alignment horizontal="center" vertical="center" textRotation="0" wrapText="1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z val="10"/>
        <family val="2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sz val="10"/>
        <family val="2"/>
      </font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53C7DE-5ACE-44B9-AFED-CFF386979C83}" name="Tableau2" displayName="Tableau2" ref="A1:P97" totalsRowCount="1" headerRowDxfId="33" dataDxfId="32">
  <autoFilter ref="A1:P96" xr:uid="{8F53C7DE-5ACE-44B9-AFED-CFF386979C83}"/>
  <sortState xmlns:xlrd2="http://schemas.microsoft.com/office/spreadsheetml/2017/richdata2" ref="A2:P96">
    <sortCondition ref="I1:I96"/>
  </sortState>
  <tableColumns count="16">
    <tableColumn id="2" xr3:uid="{5A09F71E-52E5-47CC-A924-1FD5F8B6260C}" name="Lien flora" dataDxfId="31" totalsRowDxfId="15"/>
    <tableColumn id="12" xr3:uid="{0CE0C2CC-865C-4FF5-B940-560966A8696F}" name="Type de fonds" dataDxfId="30" totalsRowDxfId="14"/>
    <tableColumn id="9" xr3:uid="{9E037ABF-8A41-473B-B371-DC11FD4F93D3}" name=" Fonds" totalsRowLabel="Divers fonds" dataDxfId="29" totalsRowDxfId="13"/>
    <tableColumn id="14" xr3:uid="{E7ABFEE4-B076-4E14-B931-D30174E84245}" name="Dates min" dataDxfId="28" totalsRowDxfId="12"/>
    <tableColumn id="1" xr3:uid="{14E8F187-3136-44B9-81EC-3E44293B7FEB}" name="Dates max" dataDxfId="27" totalsRowDxfId="11"/>
    <tableColumn id="4" xr3:uid="{CC430E9A-C81E-4E26-9333-69D2A8783BCD}" name="Type d'image/photo" dataDxfId="26" totalsRowDxfId="10"/>
    <tableColumn id="11" xr3:uid="{C2965656-8719-4538-9761-C36CA700A44E}" name="inventaire détaillé" dataDxfId="25" totalsRowDxfId="9"/>
    <tableColumn id="3" xr3:uid="{9644D662-2BEF-494F-945B-8CDA560A9E26}" name="Volume " dataDxfId="24" totalsRowDxfId="8"/>
    <tableColumn id="15" xr3:uid="{0ACB52F1-1F4D-4597-9FF9-2993E0907D88}" name="Volume total - Photographie" totalsRowFunction="custom" dataDxfId="23" totalsRowDxfId="7">
      <totalsRowFormula>SUM(Tableau2[Volume total - Photographie])</totalsRowFormula>
    </tableColumn>
    <tableColumn id="5" xr3:uid="{39AF687A-79CC-45FE-85E9-3025AD1314C4}" name="Volume total - Plaque de verre" totalsRowFunction="custom" dataDxfId="22" totalsRowDxfId="6">
      <totalsRowFormula>SUM(Tableau2[Volume total - Plaque de verre])</totalsRowFormula>
    </tableColumn>
    <tableColumn id="7" xr3:uid="{FCFA9C43-ECB2-410C-B178-13AE9E50E59B}" name="Volume total - Négatif" totalsRowFunction="custom" dataDxfId="21" totalsRowDxfId="5">
      <totalsRowFormula>SUM(Tableau2[Volume total - Négatif])</totalsRowFormula>
    </tableColumn>
    <tableColumn id="8" xr3:uid="{073BF370-9345-4314-BCC8-D51786D35B58}" name="Volume total - Carte postale" totalsRowFunction="custom" dataDxfId="20" totalsRowDxfId="4">
      <totalsRowFormula>SUM(Tableau2[Volume total - Carte postale])</totalsRowFormula>
    </tableColumn>
    <tableColumn id="13" xr3:uid="{4D7DDD2F-0449-4E93-8041-333DBB037EE1}" name="Volume total - Daguérrotype" totalsRowFunction="custom" dataDxfId="19" totalsRowDxfId="3">
      <totalsRowFormula>SUM(Tableau2[Volume total - Daguérrotype])</totalsRowFormula>
    </tableColumn>
    <tableColumn id="16" xr3:uid="{DDEF7DA6-9CB3-4768-B530-E87CB8ADE9B1}" name="Planches contact" totalsRowFunction="custom" dataDxfId="18" totalsRowDxfId="2">
      <totalsRowFormula>SUM(Tableau2[Planches contact])</totalsRowFormula>
    </tableColumn>
    <tableColumn id="17" xr3:uid="{8CCA5C17-6876-4596-B239-114BBA31536D}" name="Diapositive" totalsRowLabel="400" dataDxfId="17" totalsRowDxfId="1"/>
    <tableColumn id="6" xr3:uid="{2DA638C2-58EC-45A3-93B0-F9204C25DEE3}" name="Remarques" totalsRowFunction="custom" dataDxfId="16" totalsRowDxfId="0">
      <totalsRowFormula>SUM(I97:K97,M97,N97)</totalsRowFormula>
    </tableColumn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91BE96-F97A-46F1-9A99-A9E10810B4CF}" name="Tableau3" displayName="Tableau3" ref="A1:B21" totalsRowShown="0">
  <autoFilter ref="A1:B21" xr:uid="{0F91BE96-F97A-46F1-9A99-A9E10810B4CF}"/>
  <tableColumns count="2">
    <tableColumn id="1" xr3:uid="{A743FDC4-4ED4-4298-AD0E-D09A75905A7E}" name="Nom du fonds"/>
    <tableColumn id="2" xr3:uid="{2F8431AA-22DD-491A-A595-3A5D9A952BF1}" name="ligne de l'inventaire détaill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9"/>
  <sheetViews>
    <sheetView tabSelected="1" topLeftCell="C1" zoomScale="90" zoomScaleNormal="90" workbookViewId="0">
      <pane ySplit="1" topLeftCell="A2" activePane="bottomLeft" state="frozen"/>
      <selection activeCell="C1" sqref="C1"/>
      <selection pane="bottomLeft" activeCell="H13" sqref="H13"/>
    </sheetView>
  </sheetViews>
  <sheetFormatPr baseColWidth="10" defaultColWidth="11.42578125" defaultRowHeight="12" x14ac:dyDescent="0.2"/>
  <cols>
    <col min="1" max="1" width="52.140625" style="2" customWidth="1"/>
    <col min="2" max="2" width="34.7109375" style="2" customWidth="1"/>
    <col min="3" max="3" width="44.42578125" style="26" customWidth="1"/>
    <col min="4" max="5" width="12.42578125" style="2" customWidth="1"/>
    <col min="6" max="6" width="16.85546875" customWidth="1"/>
    <col min="7" max="7" width="20.5703125" style="2" customWidth="1"/>
    <col min="8" max="8" width="20.5703125" style="1" customWidth="1"/>
    <col min="9" max="9" width="23.28515625" style="2" customWidth="1"/>
    <col min="10" max="10" width="18.42578125" style="1" bestFit="1" customWidth="1"/>
    <col min="11" max="11" width="18.140625" style="1" customWidth="1"/>
    <col min="12" max="12" width="18.42578125" style="1" bestFit="1" customWidth="1"/>
    <col min="13" max="13" width="13" style="1" customWidth="1"/>
    <col min="14" max="15" width="15" style="1" customWidth="1"/>
    <col min="16" max="16" width="29.5703125" style="1" customWidth="1"/>
    <col min="17" max="17" width="17.5703125" style="1" customWidth="1"/>
    <col min="18" max="18" width="11.140625"/>
    <col min="19" max="19" width="17.85546875" style="1" customWidth="1"/>
    <col min="20" max="16384" width="11.42578125" style="1"/>
  </cols>
  <sheetData>
    <row r="1" spans="1:18" ht="33.75" customHeight="1" x14ac:dyDescent="0.2">
      <c r="A1" s="2" t="s">
        <v>16</v>
      </c>
      <c r="B1" s="2" t="s">
        <v>2</v>
      </c>
      <c r="C1" s="7" t="s">
        <v>13</v>
      </c>
      <c r="D1" s="3" t="s">
        <v>15</v>
      </c>
      <c r="E1" s="3" t="s">
        <v>14</v>
      </c>
      <c r="F1" s="3" t="s">
        <v>1</v>
      </c>
      <c r="G1" s="4" t="s">
        <v>27</v>
      </c>
      <c r="H1" s="2" t="s">
        <v>0</v>
      </c>
      <c r="I1" s="1" t="s">
        <v>4</v>
      </c>
      <c r="J1" s="1" t="s">
        <v>5</v>
      </c>
      <c r="K1" s="1" t="s">
        <v>6</v>
      </c>
      <c r="L1" s="1" t="s">
        <v>7</v>
      </c>
      <c r="M1" s="4" t="s">
        <v>12</v>
      </c>
      <c r="N1" s="4" t="s">
        <v>9</v>
      </c>
      <c r="O1" s="4" t="s">
        <v>10</v>
      </c>
      <c r="P1" s="10" t="s">
        <v>3</v>
      </c>
      <c r="R1" s="1"/>
    </row>
    <row r="2" spans="1:18" ht="14.25" x14ac:dyDescent="0.2">
      <c r="A2" s="29" t="s">
        <v>19</v>
      </c>
      <c r="B2" s="18" t="s">
        <v>17</v>
      </c>
      <c r="C2" s="22" t="s">
        <v>18</v>
      </c>
      <c r="D2" s="24">
        <v>1906</v>
      </c>
      <c r="E2" s="24">
        <v>1996</v>
      </c>
      <c r="F2" s="4" t="s">
        <v>29</v>
      </c>
      <c r="G2" s="4" t="s">
        <v>28</v>
      </c>
      <c r="H2" s="3"/>
      <c r="I2" s="4"/>
      <c r="J2" s="4"/>
      <c r="K2" s="4"/>
      <c r="L2" s="4"/>
      <c r="M2" s="4"/>
      <c r="N2" s="4"/>
      <c r="O2" s="4"/>
      <c r="P2" s="10"/>
      <c r="R2" s="1"/>
    </row>
    <row r="3" spans="1:18" ht="14.25" x14ac:dyDescent="0.2">
      <c r="A3" s="29" t="s">
        <v>21</v>
      </c>
      <c r="B3" s="18" t="s">
        <v>17</v>
      </c>
      <c r="C3" s="22" t="s">
        <v>20</v>
      </c>
      <c r="D3" s="23">
        <v>1875</v>
      </c>
      <c r="E3" s="24">
        <v>2017</v>
      </c>
      <c r="F3" s="4" t="s">
        <v>30</v>
      </c>
      <c r="G3" s="4" t="s">
        <v>28</v>
      </c>
      <c r="H3" s="7"/>
      <c r="I3" s="4"/>
      <c r="J3" s="4"/>
      <c r="K3" s="4"/>
      <c r="L3" s="4"/>
      <c r="M3" s="4"/>
      <c r="N3" s="4"/>
      <c r="O3" s="4"/>
      <c r="P3" s="16"/>
      <c r="R3" s="1"/>
    </row>
    <row r="4" spans="1:18" ht="14.25" x14ac:dyDescent="0.2">
      <c r="A4" s="30" t="s">
        <v>22</v>
      </c>
      <c r="B4" s="18" t="s">
        <v>17</v>
      </c>
      <c r="C4" s="22" t="s">
        <v>23</v>
      </c>
      <c r="D4" s="24">
        <v>1890</v>
      </c>
      <c r="E4" s="24">
        <v>2017</v>
      </c>
      <c r="F4" s="4" t="s">
        <v>30</v>
      </c>
      <c r="G4" s="4" t="s">
        <v>28</v>
      </c>
      <c r="H4" s="3"/>
      <c r="I4" s="4"/>
      <c r="J4" s="4"/>
      <c r="K4" s="4"/>
      <c r="L4" s="4"/>
      <c r="M4" s="4"/>
      <c r="N4" s="4"/>
      <c r="O4" s="4"/>
      <c r="P4" s="13"/>
      <c r="R4" s="1"/>
    </row>
    <row r="5" spans="1:18" ht="14.25" x14ac:dyDescent="0.2">
      <c r="A5" s="30" t="s">
        <v>22</v>
      </c>
      <c r="B5" s="18" t="s">
        <v>17</v>
      </c>
      <c r="C5" s="22" t="s">
        <v>24</v>
      </c>
      <c r="D5" s="24">
        <v>1990</v>
      </c>
      <c r="E5" s="24">
        <v>2000</v>
      </c>
      <c r="F5" s="4" t="s">
        <v>30</v>
      </c>
      <c r="G5" s="4" t="s">
        <v>28</v>
      </c>
      <c r="H5" s="3"/>
      <c r="I5" s="4"/>
      <c r="J5" s="4"/>
      <c r="K5" s="4"/>
      <c r="L5" s="4"/>
      <c r="M5" s="4"/>
      <c r="N5" s="4"/>
      <c r="O5" s="4"/>
      <c r="P5" s="13"/>
      <c r="R5" s="1"/>
    </row>
    <row r="6" spans="1:18" ht="24" x14ac:dyDescent="0.2">
      <c r="A6" s="30" t="s">
        <v>26</v>
      </c>
      <c r="B6" s="18" t="s">
        <v>17</v>
      </c>
      <c r="C6" s="22" t="s">
        <v>25</v>
      </c>
      <c r="D6" s="24">
        <v>1869</v>
      </c>
      <c r="E6" s="24">
        <v>1931</v>
      </c>
      <c r="F6" s="4" t="s">
        <v>30</v>
      </c>
      <c r="G6" s="4" t="s">
        <v>31</v>
      </c>
      <c r="H6" s="3">
        <v>1590</v>
      </c>
      <c r="I6" s="3">
        <v>1590</v>
      </c>
      <c r="J6" s="4"/>
      <c r="K6" s="4"/>
      <c r="L6" s="4"/>
      <c r="M6" s="4"/>
      <c r="N6" s="4"/>
      <c r="O6" s="4"/>
      <c r="P6" s="10"/>
      <c r="R6" s="1"/>
    </row>
    <row r="7" spans="1:18" ht="14.25" x14ac:dyDescent="0.2">
      <c r="A7" s="30" t="s">
        <v>33</v>
      </c>
      <c r="B7" s="18" t="s">
        <v>17</v>
      </c>
      <c r="C7" s="22" t="s">
        <v>32</v>
      </c>
      <c r="D7" s="23">
        <v>1938</v>
      </c>
      <c r="E7" s="24">
        <v>1938</v>
      </c>
      <c r="F7" s="4" t="s">
        <v>30</v>
      </c>
      <c r="G7" s="4" t="s">
        <v>28</v>
      </c>
      <c r="H7" s="2"/>
      <c r="I7" s="1"/>
      <c r="P7" s="12"/>
      <c r="R7" s="1"/>
    </row>
    <row r="8" spans="1:18" ht="27.75" customHeight="1" x14ac:dyDescent="0.2">
      <c r="A8" s="30" t="s">
        <v>36</v>
      </c>
      <c r="B8" s="3" t="s">
        <v>34</v>
      </c>
      <c r="C8" s="22" t="s">
        <v>35</v>
      </c>
      <c r="D8" s="24">
        <v>1927</v>
      </c>
      <c r="E8" s="24">
        <v>1980</v>
      </c>
      <c r="F8" s="4" t="s">
        <v>30</v>
      </c>
      <c r="G8" s="4" t="s">
        <v>28</v>
      </c>
      <c r="H8" s="3"/>
      <c r="I8" s="4"/>
      <c r="J8" s="4"/>
      <c r="K8" s="4"/>
      <c r="L8" s="4"/>
      <c r="M8" s="4"/>
      <c r="N8" s="4"/>
      <c r="O8" s="4"/>
      <c r="P8" s="10" t="s">
        <v>38</v>
      </c>
      <c r="R8" s="1"/>
    </row>
    <row r="9" spans="1:18" ht="14.25" x14ac:dyDescent="0.2">
      <c r="A9" s="30" t="s">
        <v>43</v>
      </c>
      <c r="B9" s="3" t="s">
        <v>34</v>
      </c>
      <c r="C9" s="22" t="s">
        <v>42</v>
      </c>
      <c r="D9" s="24">
        <v>1886</v>
      </c>
      <c r="E9" s="24">
        <v>1948</v>
      </c>
      <c r="F9" s="4" t="s">
        <v>30</v>
      </c>
      <c r="G9" s="4" t="s">
        <v>28</v>
      </c>
      <c r="H9" s="3"/>
      <c r="I9" s="1"/>
      <c r="P9" s="11"/>
      <c r="R9" s="1"/>
    </row>
    <row r="10" spans="1:18" ht="14.25" x14ac:dyDescent="0.2">
      <c r="A10" s="29" t="s">
        <v>46</v>
      </c>
      <c r="B10" s="3" t="s">
        <v>34</v>
      </c>
      <c r="C10" s="15" t="s">
        <v>44</v>
      </c>
      <c r="D10" s="24">
        <v>1763</v>
      </c>
      <c r="E10" s="24">
        <v>1980</v>
      </c>
      <c r="F10" s="4" t="s">
        <v>30</v>
      </c>
      <c r="G10" s="4" t="s">
        <v>28</v>
      </c>
      <c r="H10" s="2"/>
      <c r="I10" s="1"/>
      <c r="P10" s="2"/>
      <c r="R10" s="1"/>
    </row>
    <row r="11" spans="1:18" ht="14.25" x14ac:dyDescent="0.2">
      <c r="A11" s="30" t="s">
        <v>45</v>
      </c>
      <c r="B11" s="27" t="s">
        <v>34</v>
      </c>
      <c r="C11" s="22" t="s">
        <v>47</v>
      </c>
      <c r="D11" s="1">
        <v>1921</v>
      </c>
      <c r="E11" s="1">
        <v>1954</v>
      </c>
      <c r="F11" s="4" t="s">
        <v>30</v>
      </c>
      <c r="G11" s="4" t="s">
        <v>28</v>
      </c>
      <c r="H11" s="2"/>
      <c r="I11" s="1"/>
      <c r="P11" s="10"/>
      <c r="R11" s="1"/>
    </row>
    <row r="12" spans="1:18" ht="14.25" x14ac:dyDescent="0.2">
      <c r="A12" s="30" t="s">
        <v>49</v>
      </c>
      <c r="B12" s="3" t="s">
        <v>48</v>
      </c>
      <c r="C12" s="15" t="s">
        <v>50</v>
      </c>
      <c r="D12" s="24">
        <v>1828</v>
      </c>
      <c r="E12" s="24">
        <v>1968</v>
      </c>
      <c r="F12" s="24" t="s">
        <v>51</v>
      </c>
      <c r="G12" s="4" t="s">
        <v>28</v>
      </c>
      <c r="H12" s="3"/>
      <c r="I12" s="4"/>
      <c r="J12" s="4"/>
      <c r="K12" s="4"/>
      <c r="L12" s="4"/>
      <c r="M12" s="4"/>
      <c r="N12" s="4"/>
      <c r="O12" s="4"/>
      <c r="P12" s="13"/>
      <c r="R12" s="1"/>
    </row>
    <row r="13" spans="1:18" ht="14.25" x14ac:dyDescent="0.2">
      <c r="A13" s="30" t="s">
        <v>52</v>
      </c>
      <c r="B13" s="27" t="s">
        <v>48</v>
      </c>
      <c r="C13" s="22" t="s">
        <v>53</v>
      </c>
      <c r="D13" s="23">
        <v>1875</v>
      </c>
      <c r="E13" s="24">
        <v>1995</v>
      </c>
      <c r="F13" s="24" t="s">
        <v>51</v>
      </c>
      <c r="G13" s="4" t="s">
        <v>28</v>
      </c>
      <c r="H13" s="3"/>
      <c r="I13" s="4"/>
      <c r="J13" s="4"/>
      <c r="K13" s="4"/>
      <c r="L13" s="4"/>
      <c r="M13" s="4"/>
      <c r="N13" s="4"/>
      <c r="O13" s="4"/>
      <c r="P13" s="13"/>
      <c r="R13" s="1"/>
    </row>
    <row r="14" spans="1:18" ht="14.25" x14ac:dyDescent="0.2">
      <c r="A14" s="29" t="s">
        <v>55</v>
      </c>
      <c r="B14" s="27" t="s">
        <v>48</v>
      </c>
      <c r="C14" s="15" t="s">
        <v>54</v>
      </c>
      <c r="D14" s="24">
        <v>1850</v>
      </c>
      <c r="E14" s="24">
        <v>1991</v>
      </c>
      <c r="F14" s="24" t="s">
        <v>51</v>
      </c>
      <c r="G14" s="4" t="s">
        <v>28</v>
      </c>
      <c r="H14" s="3"/>
      <c r="I14" s="4"/>
      <c r="J14" s="4"/>
      <c r="K14" s="4"/>
      <c r="L14" s="4"/>
      <c r="M14" s="4"/>
      <c r="N14" s="4"/>
      <c r="O14" s="4"/>
      <c r="P14" s="13"/>
      <c r="R14" s="1"/>
    </row>
    <row r="15" spans="1:18" ht="14.25" x14ac:dyDescent="0.2">
      <c r="A15" s="30" t="s">
        <v>57</v>
      </c>
      <c r="B15" s="27" t="s">
        <v>48</v>
      </c>
      <c r="C15" s="22" t="s">
        <v>56</v>
      </c>
      <c r="D15" s="24">
        <v>1903</v>
      </c>
      <c r="E15" s="24">
        <v>1999</v>
      </c>
      <c r="F15" s="24" t="s">
        <v>51</v>
      </c>
      <c r="G15" s="4" t="s">
        <v>28</v>
      </c>
      <c r="H15" s="3"/>
      <c r="I15" s="4"/>
      <c r="J15" s="4"/>
      <c r="K15" s="4"/>
      <c r="L15" s="4"/>
      <c r="M15" s="4"/>
      <c r="N15" s="4"/>
      <c r="O15" s="4"/>
      <c r="P15" s="13"/>
      <c r="R15" s="1"/>
    </row>
    <row r="16" spans="1:18" ht="14.25" x14ac:dyDescent="0.2">
      <c r="A16" s="30" t="s">
        <v>59</v>
      </c>
      <c r="B16" s="27" t="s">
        <v>48</v>
      </c>
      <c r="C16" s="22" t="s">
        <v>58</v>
      </c>
      <c r="D16" s="24">
        <v>1887</v>
      </c>
      <c r="E16" s="24">
        <v>1976</v>
      </c>
      <c r="F16" s="24" t="s">
        <v>51</v>
      </c>
      <c r="G16" s="4" t="s">
        <v>28</v>
      </c>
      <c r="H16" s="3"/>
      <c r="I16" s="4"/>
      <c r="J16" s="4"/>
      <c r="K16" s="4"/>
      <c r="L16" s="4"/>
      <c r="M16" s="4"/>
      <c r="N16" s="4"/>
      <c r="O16" s="4"/>
      <c r="P16" s="10"/>
      <c r="R16" s="1"/>
    </row>
    <row r="17" spans="1:18" ht="14.25" x14ac:dyDescent="0.2">
      <c r="A17" s="30" t="s">
        <v>61</v>
      </c>
      <c r="B17" s="27" t="s">
        <v>48</v>
      </c>
      <c r="C17" s="22" t="s">
        <v>60</v>
      </c>
      <c r="D17" s="24">
        <v>1840</v>
      </c>
      <c r="E17" s="24">
        <v>1996</v>
      </c>
      <c r="F17" s="24" t="s">
        <v>51</v>
      </c>
      <c r="G17" s="4" t="s">
        <v>28</v>
      </c>
      <c r="H17" s="2"/>
      <c r="I17" s="1"/>
      <c r="P17" s="12"/>
      <c r="R17" s="1"/>
    </row>
    <row r="18" spans="1:18" ht="14.25" x14ac:dyDescent="0.2">
      <c r="A18" s="30" t="s">
        <v>63</v>
      </c>
      <c r="B18" s="27" t="s">
        <v>48</v>
      </c>
      <c r="C18" s="22" t="s">
        <v>62</v>
      </c>
      <c r="D18" s="24">
        <v>1935</v>
      </c>
      <c r="E18" s="24">
        <v>1952</v>
      </c>
      <c r="F18" s="24" t="s">
        <v>51</v>
      </c>
      <c r="G18" s="4" t="s">
        <v>28</v>
      </c>
      <c r="H18" s="3"/>
      <c r="I18" s="4"/>
      <c r="J18" s="4"/>
      <c r="K18" s="4"/>
      <c r="L18" s="4"/>
      <c r="M18" s="4"/>
      <c r="N18" s="4"/>
      <c r="O18" s="4"/>
      <c r="P18" s="13"/>
      <c r="R18" s="1"/>
    </row>
    <row r="19" spans="1:18" ht="14.25" x14ac:dyDescent="0.2">
      <c r="A19" s="30" t="s">
        <v>65</v>
      </c>
      <c r="B19" s="27" t="s">
        <v>48</v>
      </c>
      <c r="C19" s="22" t="s">
        <v>64</v>
      </c>
      <c r="D19" s="24">
        <v>1880</v>
      </c>
      <c r="E19" s="24">
        <v>2000</v>
      </c>
      <c r="F19" s="24" t="s">
        <v>51</v>
      </c>
      <c r="G19" s="4" t="s">
        <v>28</v>
      </c>
      <c r="H19" s="4"/>
      <c r="I19" s="1"/>
      <c r="J19" s="4"/>
      <c r="K19" s="4"/>
      <c r="L19" s="4"/>
      <c r="M19" s="4"/>
      <c r="N19" s="4"/>
      <c r="O19" s="4"/>
      <c r="P19" s="13"/>
      <c r="R19" s="1"/>
    </row>
    <row r="20" spans="1:18" ht="14.25" x14ac:dyDescent="0.25">
      <c r="A20" s="30" t="s">
        <v>67</v>
      </c>
      <c r="B20" s="27" t="s">
        <v>48</v>
      </c>
      <c r="C20" s="22" t="s">
        <v>66</v>
      </c>
      <c r="D20" s="24">
        <v>1914</v>
      </c>
      <c r="E20" s="24">
        <v>1984</v>
      </c>
      <c r="F20" s="24" t="s">
        <v>51</v>
      </c>
      <c r="G20" s="4" t="s">
        <v>28</v>
      </c>
      <c r="H20" s="21">
        <v>108</v>
      </c>
      <c r="I20" s="21">
        <v>108</v>
      </c>
      <c r="J20" s="6"/>
      <c r="K20" s="6"/>
      <c r="L20" s="6"/>
      <c r="M20" s="6"/>
      <c r="N20" s="6"/>
      <c r="O20" s="6"/>
      <c r="P20" s="11"/>
      <c r="R20" s="1"/>
    </row>
    <row r="21" spans="1:18" ht="14.25" x14ac:dyDescent="0.2">
      <c r="A21" s="30" t="s">
        <v>69</v>
      </c>
      <c r="B21" s="27" t="s">
        <v>48</v>
      </c>
      <c r="C21" s="22" t="s">
        <v>68</v>
      </c>
      <c r="D21" s="24">
        <v>1872</v>
      </c>
      <c r="E21" s="24">
        <v>1981</v>
      </c>
      <c r="F21" s="24" t="s">
        <v>51</v>
      </c>
      <c r="G21" s="4" t="s">
        <v>28</v>
      </c>
      <c r="H21" s="3"/>
      <c r="I21" s="4"/>
      <c r="J21" s="4"/>
      <c r="K21" s="4"/>
      <c r="L21" s="4"/>
      <c r="M21" s="4"/>
      <c r="N21" s="4"/>
      <c r="O21" s="4"/>
      <c r="P21" s="10"/>
      <c r="R21" s="1"/>
    </row>
    <row r="22" spans="1:18" ht="14.25" x14ac:dyDescent="0.2">
      <c r="A22" s="30" t="s">
        <v>71</v>
      </c>
      <c r="B22" s="27" t="s">
        <v>48</v>
      </c>
      <c r="C22" s="22" t="s">
        <v>70</v>
      </c>
      <c r="D22" s="24">
        <v>1871</v>
      </c>
      <c r="E22" s="24">
        <v>1883</v>
      </c>
      <c r="F22" s="24" t="s">
        <v>51</v>
      </c>
      <c r="G22" s="4" t="s">
        <v>28</v>
      </c>
      <c r="H22" s="2"/>
      <c r="I22" s="1"/>
      <c r="P22" s="11"/>
      <c r="R22" s="1"/>
    </row>
    <row r="23" spans="1:18" ht="14.25" x14ac:dyDescent="0.2">
      <c r="A23" s="30" t="s">
        <v>73</v>
      </c>
      <c r="B23" s="27" t="s">
        <v>48</v>
      </c>
      <c r="C23" s="22" t="s">
        <v>72</v>
      </c>
      <c r="D23" s="24">
        <v>1808</v>
      </c>
      <c r="E23" s="24">
        <v>1869</v>
      </c>
      <c r="F23" s="24" t="s">
        <v>51</v>
      </c>
      <c r="G23" s="4" t="s">
        <v>28</v>
      </c>
      <c r="H23" s="3"/>
      <c r="I23" s="4"/>
      <c r="J23" s="4"/>
      <c r="K23" s="4"/>
      <c r="L23" s="4"/>
      <c r="M23" s="4"/>
      <c r="N23" s="4"/>
      <c r="O23" s="4"/>
      <c r="P23" s="13"/>
      <c r="R23" s="1"/>
    </row>
    <row r="24" spans="1:18" ht="14.25" x14ac:dyDescent="0.25">
      <c r="A24" s="31" t="s">
        <v>213</v>
      </c>
      <c r="B24" s="27" t="s">
        <v>48</v>
      </c>
      <c r="C24" s="21" t="s">
        <v>212</v>
      </c>
      <c r="D24" s="21">
        <v>1869</v>
      </c>
      <c r="E24" s="21">
        <v>1965</v>
      </c>
      <c r="F24" s="24" t="s">
        <v>51</v>
      </c>
      <c r="G24" s="4" t="s">
        <v>28</v>
      </c>
      <c r="H24" s="3"/>
      <c r="I24" s="4"/>
      <c r="J24" s="4"/>
      <c r="K24" s="4"/>
      <c r="L24" s="4"/>
      <c r="M24" s="4"/>
      <c r="N24" s="4"/>
      <c r="O24" s="4"/>
      <c r="P24" s="13"/>
      <c r="R24" s="1"/>
    </row>
    <row r="25" spans="1:18" ht="14.25" x14ac:dyDescent="0.2">
      <c r="A25" s="30" t="s">
        <v>75</v>
      </c>
      <c r="B25" s="27" t="s">
        <v>48</v>
      </c>
      <c r="C25" s="22" t="s">
        <v>74</v>
      </c>
      <c r="D25" s="24">
        <v>1882</v>
      </c>
      <c r="E25" s="24">
        <v>1958</v>
      </c>
      <c r="F25" s="24" t="s">
        <v>51</v>
      </c>
      <c r="G25" s="4" t="s">
        <v>28</v>
      </c>
      <c r="H25" s="3"/>
      <c r="I25" s="4"/>
      <c r="J25" s="4"/>
      <c r="K25" s="4"/>
      <c r="L25" s="4"/>
      <c r="M25" s="4"/>
      <c r="N25" s="4"/>
      <c r="O25" s="4"/>
      <c r="P25" s="13"/>
      <c r="R25" s="1"/>
    </row>
    <row r="26" spans="1:18" ht="14.25" x14ac:dyDescent="0.2">
      <c r="A26" s="30" t="s">
        <v>77</v>
      </c>
      <c r="B26" s="27" t="s">
        <v>48</v>
      </c>
      <c r="C26" s="22" t="s">
        <v>76</v>
      </c>
      <c r="D26" s="24">
        <v>1954</v>
      </c>
      <c r="E26" s="24">
        <v>2000</v>
      </c>
      <c r="F26" s="24" t="s">
        <v>51</v>
      </c>
      <c r="G26" s="4" t="s">
        <v>28</v>
      </c>
      <c r="H26" s="3"/>
      <c r="I26" s="8"/>
      <c r="J26" s="8"/>
      <c r="K26" s="8"/>
      <c r="L26" s="8"/>
      <c r="M26" s="8"/>
      <c r="N26" s="8"/>
      <c r="O26" s="8"/>
      <c r="P26" s="10"/>
      <c r="R26" s="1"/>
    </row>
    <row r="27" spans="1:18" ht="14.25" x14ac:dyDescent="0.2">
      <c r="A27" s="30" t="s">
        <v>79</v>
      </c>
      <c r="B27" s="27" t="s">
        <v>48</v>
      </c>
      <c r="C27" s="22" t="s">
        <v>78</v>
      </c>
      <c r="D27" s="24">
        <v>1955</v>
      </c>
      <c r="E27" s="24">
        <v>1955</v>
      </c>
      <c r="F27" s="24" t="s">
        <v>51</v>
      </c>
      <c r="G27" s="4" t="s">
        <v>28</v>
      </c>
      <c r="H27" s="2"/>
      <c r="I27" s="1"/>
      <c r="P27" s="11"/>
      <c r="R27" s="1"/>
    </row>
    <row r="28" spans="1:18" ht="14.25" x14ac:dyDescent="0.2">
      <c r="A28" s="30" t="s">
        <v>81</v>
      </c>
      <c r="B28" s="27" t="s">
        <v>48</v>
      </c>
      <c r="C28" s="22" t="s">
        <v>80</v>
      </c>
      <c r="D28" s="4">
        <v>1888</v>
      </c>
      <c r="E28" s="4">
        <v>1956</v>
      </c>
      <c r="F28" s="24" t="s">
        <v>51</v>
      </c>
      <c r="G28" s="4" t="s">
        <v>28</v>
      </c>
      <c r="H28" s="3"/>
      <c r="I28" s="9"/>
      <c r="J28" s="9"/>
      <c r="K28" s="9"/>
      <c r="L28" s="9"/>
      <c r="M28" s="9"/>
      <c r="N28" s="9"/>
      <c r="O28" s="9"/>
      <c r="P28" s="11"/>
      <c r="R28" s="1"/>
    </row>
    <row r="29" spans="1:18" ht="14.25" x14ac:dyDescent="0.2">
      <c r="A29" s="30" t="s">
        <v>82</v>
      </c>
      <c r="B29" s="27" t="s">
        <v>48</v>
      </c>
      <c r="C29" s="22" t="s">
        <v>83</v>
      </c>
      <c r="D29" s="24">
        <v>1923</v>
      </c>
      <c r="E29" s="24">
        <v>1960</v>
      </c>
      <c r="F29" s="24" t="s">
        <v>51</v>
      </c>
      <c r="G29" s="4" t="s">
        <v>28</v>
      </c>
      <c r="H29" s="3"/>
      <c r="I29" s="4"/>
      <c r="J29" s="4"/>
      <c r="K29" s="4"/>
      <c r="L29" s="4"/>
      <c r="M29" s="4"/>
      <c r="N29" s="4"/>
      <c r="O29" s="4"/>
      <c r="P29" s="10"/>
      <c r="R29" s="1"/>
    </row>
    <row r="30" spans="1:18" ht="14.25" x14ac:dyDescent="0.2">
      <c r="A30" s="30" t="s">
        <v>85</v>
      </c>
      <c r="B30" s="27" t="s">
        <v>48</v>
      </c>
      <c r="C30" s="22" t="s">
        <v>84</v>
      </c>
      <c r="D30" s="24">
        <v>1910</v>
      </c>
      <c r="E30" s="24">
        <v>1983</v>
      </c>
      <c r="F30" s="24" t="s">
        <v>51</v>
      </c>
      <c r="G30" s="4" t="s">
        <v>28</v>
      </c>
      <c r="H30" s="3"/>
      <c r="I30" s="4"/>
      <c r="J30" s="4"/>
      <c r="K30" s="4"/>
      <c r="L30" s="4"/>
      <c r="M30" s="4"/>
      <c r="N30" s="4"/>
      <c r="O30" s="4"/>
      <c r="P30" s="10"/>
      <c r="R30" s="1"/>
    </row>
    <row r="31" spans="1:18" ht="14.25" x14ac:dyDescent="0.2">
      <c r="A31" s="30" t="s">
        <v>87</v>
      </c>
      <c r="B31" s="27" t="s">
        <v>48</v>
      </c>
      <c r="C31" s="22" t="s">
        <v>86</v>
      </c>
      <c r="D31" s="24">
        <v>1830</v>
      </c>
      <c r="E31" s="24">
        <v>1952</v>
      </c>
      <c r="F31" s="24" t="s">
        <v>51</v>
      </c>
      <c r="G31" s="4" t="s">
        <v>28</v>
      </c>
      <c r="H31" s="2"/>
      <c r="I31" s="1"/>
      <c r="P31" s="11"/>
      <c r="R31" s="1"/>
    </row>
    <row r="32" spans="1:18" ht="14.25" x14ac:dyDescent="0.2">
      <c r="A32" s="30" t="s">
        <v>89</v>
      </c>
      <c r="B32" s="27" t="s">
        <v>48</v>
      </c>
      <c r="C32" s="22" t="s">
        <v>88</v>
      </c>
      <c r="D32" s="24">
        <v>1850</v>
      </c>
      <c r="E32" s="24">
        <v>1987</v>
      </c>
      <c r="F32" s="24" t="s">
        <v>51</v>
      </c>
      <c r="G32" s="4" t="s">
        <v>28</v>
      </c>
      <c r="H32" s="3"/>
      <c r="I32" s="4"/>
      <c r="J32" s="4"/>
      <c r="K32" s="4"/>
      <c r="L32" s="4"/>
      <c r="M32" s="4"/>
      <c r="N32" s="4"/>
      <c r="O32" s="4"/>
      <c r="P32" s="13"/>
      <c r="R32" s="1"/>
    </row>
    <row r="33" spans="1:18" ht="14.25" x14ac:dyDescent="0.2">
      <c r="A33" s="30" t="s">
        <v>91</v>
      </c>
      <c r="B33" s="27" t="s">
        <v>48</v>
      </c>
      <c r="C33" s="22" t="s">
        <v>90</v>
      </c>
      <c r="D33" s="24">
        <v>1888</v>
      </c>
      <c r="E33" s="24">
        <v>1963</v>
      </c>
      <c r="F33" s="24" t="s">
        <v>51</v>
      </c>
      <c r="G33" s="4" t="s">
        <v>28</v>
      </c>
      <c r="H33" s="2"/>
      <c r="I33" s="1"/>
      <c r="P33" s="11"/>
      <c r="R33" s="1"/>
    </row>
    <row r="34" spans="1:18" ht="14.25" x14ac:dyDescent="0.2">
      <c r="A34" s="30" t="s">
        <v>93</v>
      </c>
      <c r="B34" s="27" t="s">
        <v>48</v>
      </c>
      <c r="C34" s="22" t="s">
        <v>92</v>
      </c>
      <c r="D34" s="4">
        <v>1904</v>
      </c>
      <c r="E34" s="4">
        <v>1998</v>
      </c>
      <c r="F34" s="24" t="s">
        <v>51</v>
      </c>
      <c r="G34" s="4" t="s">
        <v>28</v>
      </c>
      <c r="H34" s="4"/>
      <c r="I34" s="4"/>
      <c r="J34" s="4"/>
      <c r="K34" s="4"/>
      <c r="L34" s="4"/>
      <c r="M34" s="4"/>
      <c r="N34" s="4"/>
      <c r="O34" s="4"/>
      <c r="P34" s="10"/>
      <c r="R34" s="1"/>
    </row>
    <row r="35" spans="1:18" ht="14.25" x14ac:dyDescent="0.2">
      <c r="A35" s="30" t="s">
        <v>95</v>
      </c>
      <c r="B35" s="27" t="s">
        <v>48</v>
      </c>
      <c r="C35" s="22" t="s">
        <v>94</v>
      </c>
      <c r="D35" s="24">
        <v>1810</v>
      </c>
      <c r="E35" s="24">
        <v>1905</v>
      </c>
      <c r="F35" s="24" t="s">
        <v>51</v>
      </c>
      <c r="G35" s="4" t="s">
        <v>28</v>
      </c>
      <c r="H35" s="3"/>
      <c r="I35" s="4"/>
      <c r="J35" s="4"/>
      <c r="K35" s="4"/>
      <c r="L35" s="4"/>
      <c r="M35" s="4"/>
      <c r="N35" s="4"/>
      <c r="O35" s="4"/>
      <c r="P35" s="10"/>
      <c r="R35" s="1"/>
    </row>
    <row r="36" spans="1:18" ht="14.25" x14ac:dyDescent="0.2">
      <c r="A36" s="30" t="s">
        <v>97</v>
      </c>
      <c r="B36" s="27" t="s">
        <v>48</v>
      </c>
      <c r="C36" s="22" t="s">
        <v>96</v>
      </c>
      <c r="D36" s="24">
        <v>1983</v>
      </c>
      <c r="E36" s="24">
        <v>2000</v>
      </c>
      <c r="F36" s="24" t="s">
        <v>51</v>
      </c>
      <c r="G36" s="4" t="s">
        <v>28</v>
      </c>
      <c r="H36" s="3"/>
      <c r="I36" s="4"/>
      <c r="J36" s="4"/>
      <c r="K36" s="4"/>
      <c r="L36" s="4"/>
      <c r="M36" s="4"/>
      <c r="N36" s="4"/>
      <c r="O36" s="4"/>
      <c r="P36" s="16"/>
      <c r="R36" s="1"/>
    </row>
    <row r="37" spans="1:18" ht="14.25" x14ac:dyDescent="0.2">
      <c r="A37" s="30" t="s">
        <v>99</v>
      </c>
      <c r="B37" s="27" t="s">
        <v>48</v>
      </c>
      <c r="C37" s="22" t="s">
        <v>98</v>
      </c>
      <c r="D37" s="24">
        <v>1920</v>
      </c>
      <c r="E37" s="24">
        <v>1986</v>
      </c>
      <c r="F37" s="24" t="s">
        <v>51</v>
      </c>
      <c r="G37" s="4" t="s">
        <v>28</v>
      </c>
      <c r="H37" s="3"/>
      <c r="I37" s="4"/>
      <c r="J37" s="4"/>
      <c r="K37" s="4"/>
      <c r="L37" s="4"/>
      <c r="M37" s="4"/>
      <c r="N37" s="4"/>
      <c r="O37" s="4"/>
      <c r="P37" s="13"/>
      <c r="R37" s="1"/>
    </row>
    <row r="38" spans="1:18" ht="14.25" x14ac:dyDescent="0.2">
      <c r="A38" s="30" t="s">
        <v>101</v>
      </c>
      <c r="B38" s="27" t="s">
        <v>48</v>
      </c>
      <c r="C38" s="22" t="s">
        <v>100</v>
      </c>
      <c r="D38" s="24">
        <v>1914</v>
      </c>
      <c r="E38" s="24">
        <v>1991</v>
      </c>
      <c r="F38" s="24" t="s">
        <v>51</v>
      </c>
      <c r="G38" s="4" t="s">
        <v>28</v>
      </c>
      <c r="H38" s="3"/>
      <c r="I38" s="4"/>
      <c r="J38" s="4"/>
      <c r="K38" s="4"/>
      <c r="L38" s="4"/>
      <c r="M38" s="4"/>
      <c r="N38" s="4"/>
      <c r="O38" s="4"/>
      <c r="P38" s="13"/>
      <c r="R38" s="1"/>
    </row>
    <row r="39" spans="1:18" ht="14.25" x14ac:dyDescent="0.2">
      <c r="A39" s="30" t="s">
        <v>103</v>
      </c>
      <c r="B39" s="27" t="s">
        <v>48</v>
      </c>
      <c r="C39" s="22" t="s">
        <v>102</v>
      </c>
      <c r="D39" s="24">
        <v>1949</v>
      </c>
      <c r="E39" s="24">
        <v>1949</v>
      </c>
      <c r="F39" s="24" t="s">
        <v>51</v>
      </c>
      <c r="G39" s="4" t="s">
        <v>28</v>
      </c>
      <c r="H39" s="3"/>
      <c r="I39" s="4"/>
      <c r="J39" s="4"/>
      <c r="K39" s="4"/>
      <c r="L39" s="4"/>
      <c r="M39" s="4"/>
      <c r="N39" s="4"/>
      <c r="O39" s="4"/>
      <c r="P39" s="13"/>
      <c r="R39" s="1"/>
    </row>
    <row r="40" spans="1:18" ht="14.25" x14ac:dyDescent="0.2">
      <c r="A40" s="30" t="s">
        <v>105</v>
      </c>
      <c r="B40" s="27" t="s">
        <v>48</v>
      </c>
      <c r="C40" s="22" t="s">
        <v>104</v>
      </c>
      <c r="D40" s="24">
        <v>1884</v>
      </c>
      <c r="E40" s="4">
        <v>1951</v>
      </c>
      <c r="F40" s="24" t="s">
        <v>51</v>
      </c>
      <c r="G40" s="4" t="s">
        <v>28</v>
      </c>
      <c r="H40" s="3"/>
      <c r="I40" s="4"/>
      <c r="J40" s="4"/>
      <c r="K40" s="4"/>
      <c r="L40" s="4"/>
      <c r="M40" s="4"/>
      <c r="N40" s="4"/>
      <c r="O40" s="4"/>
      <c r="P40" s="10"/>
      <c r="R40" s="1"/>
    </row>
    <row r="41" spans="1:18" ht="21.75" customHeight="1" x14ac:dyDescent="0.2">
      <c r="A41" s="30" t="s">
        <v>107</v>
      </c>
      <c r="B41" s="27" t="s">
        <v>48</v>
      </c>
      <c r="C41" s="22" t="s">
        <v>106</v>
      </c>
      <c r="D41" s="24">
        <v>1824</v>
      </c>
      <c r="E41" s="24">
        <v>1936</v>
      </c>
      <c r="F41" s="24" t="s">
        <v>51</v>
      </c>
      <c r="G41" s="4" t="s">
        <v>28</v>
      </c>
      <c r="H41" s="3"/>
      <c r="I41" s="4"/>
      <c r="J41" s="4"/>
      <c r="K41" s="4"/>
      <c r="L41" s="4"/>
      <c r="M41" s="4"/>
      <c r="N41" s="4"/>
      <c r="O41" s="4"/>
      <c r="P41" s="12"/>
      <c r="R41" s="1"/>
    </row>
    <row r="42" spans="1:18" ht="14.25" x14ac:dyDescent="0.2">
      <c r="A42" s="30" t="s">
        <v>108</v>
      </c>
      <c r="B42" s="27" t="s">
        <v>48</v>
      </c>
      <c r="C42" s="22" t="s">
        <v>109</v>
      </c>
      <c r="D42" s="24">
        <v>1861</v>
      </c>
      <c r="E42" s="24">
        <v>1977</v>
      </c>
      <c r="F42" s="24" t="s">
        <v>51</v>
      </c>
      <c r="G42" s="4" t="s">
        <v>28</v>
      </c>
      <c r="H42" s="3"/>
      <c r="I42" s="4"/>
      <c r="J42" s="4"/>
      <c r="K42" s="4"/>
      <c r="L42" s="4"/>
      <c r="M42" s="4"/>
      <c r="N42" s="4"/>
      <c r="O42" s="4"/>
      <c r="P42" s="10"/>
      <c r="R42" s="1"/>
    </row>
    <row r="43" spans="1:18" ht="18.75" customHeight="1" x14ac:dyDescent="0.2">
      <c r="A43" s="30" t="s">
        <v>111</v>
      </c>
      <c r="B43" s="27" t="s">
        <v>48</v>
      </c>
      <c r="C43" s="22" t="s">
        <v>110</v>
      </c>
      <c r="D43" s="24">
        <v>1900</v>
      </c>
      <c r="E43" s="24">
        <v>2012</v>
      </c>
      <c r="F43" s="24" t="s">
        <v>51</v>
      </c>
      <c r="G43" s="4" t="s">
        <v>28</v>
      </c>
      <c r="H43" s="3"/>
      <c r="I43" s="4"/>
      <c r="J43" s="4"/>
      <c r="K43" s="4"/>
      <c r="L43" s="4"/>
      <c r="M43" s="4"/>
      <c r="N43" s="4"/>
      <c r="O43" s="4"/>
      <c r="P43" s="10"/>
      <c r="R43" s="1"/>
    </row>
    <row r="44" spans="1:18" ht="14.25" x14ac:dyDescent="0.2">
      <c r="A44" s="30" t="s">
        <v>113</v>
      </c>
      <c r="B44" s="27" t="s">
        <v>48</v>
      </c>
      <c r="C44" s="22" t="s">
        <v>112</v>
      </c>
      <c r="D44" s="24">
        <v>1874</v>
      </c>
      <c r="E44" s="24">
        <v>1874</v>
      </c>
      <c r="F44" s="24" t="s">
        <v>51</v>
      </c>
      <c r="G44" s="4" t="s">
        <v>28</v>
      </c>
      <c r="H44" s="3"/>
      <c r="I44" s="4"/>
      <c r="J44" s="4"/>
      <c r="K44" s="4"/>
      <c r="L44" s="4"/>
      <c r="M44" s="4"/>
      <c r="N44" s="4"/>
      <c r="O44" s="4"/>
      <c r="P44" s="13"/>
      <c r="R44" s="1"/>
    </row>
    <row r="45" spans="1:18" ht="14.25" x14ac:dyDescent="0.2">
      <c r="A45" s="30" t="s">
        <v>115</v>
      </c>
      <c r="B45" s="27" t="s">
        <v>48</v>
      </c>
      <c r="C45" s="22" t="s">
        <v>114</v>
      </c>
      <c r="D45" s="24">
        <v>1867</v>
      </c>
      <c r="E45" s="24">
        <v>2012</v>
      </c>
      <c r="F45" s="24" t="s">
        <v>51</v>
      </c>
      <c r="G45" s="4" t="s">
        <v>28</v>
      </c>
      <c r="H45" s="3"/>
      <c r="I45" s="4"/>
      <c r="J45" s="4"/>
      <c r="K45" s="4"/>
      <c r="L45" s="4"/>
      <c r="M45" s="4"/>
      <c r="N45" s="4"/>
      <c r="O45" s="4"/>
      <c r="P45" s="13"/>
      <c r="R45" s="1"/>
    </row>
    <row r="46" spans="1:18" ht="14.25" x14ac:dyDescent="0.2">
      <c r="A46" s="30" t="s">
        <v>117</v>
      </c>
      <c r="B46" s="27" t="s">
        <v>48</v>
      </c>
      <c r="C46" s="22" t="s">
        <v>116</v>
      </c>
      <c r="D46" s="24">
        <v>1835</v>
      </c>
      <c r="E46" s="24">
        <v>1930</v>
      </c>
      <c r="F46" s="24" t="s">
        <v>51</v>
      </c>
      <c r="G46" s="4" t="s">
        <v>28</v>
      </c>
      <c r="H46" s="3"/>
      <c r="I46" s="4"/>
      <c r="J46" s="4"/>
      <c r="K46" s="4"/>
      <c r="L46" s="4"/>
      <c r="M46" s="4"/>
      <c r="N46" s="4"/>
      <c r="O46" s="4"/>
      <c r="P46" s="10"/>
      <c r="R46" s="1"/>
    </row>
    <row r="47" spans="1:18" ht="14.25" x14ac:dyDescent="0.2">
      <c r="A47" s="30" t="s">
        <v>119</v>
      </c>
      <c r="B47" s="27" t="s">
        <v>48</v>
      </c>
      <c r="C47" s="22" t="s">
        <v>118</v>
      </c>
      <c r="D47" s="24">
        <v>1935</v>
      </c>
      <c r="E47" s="24">
        <v>1959</v>
      </c>
      <c r="F47" s="24" t="s">
        <v>51</v>
      </c>
      <c r="G47" s="4" t="s">
        <v>28</v>
      </c>
      <c r="H47" s="7"/>
      <c r="I47" s="4"/>
      <c r="J47" s="4"/>
      <c r="K47" s="4"/>
      <c r="L47" s="4"/>
      <c r="M47" s="4"/>
      <c r="N47" s="4"/>
      <c r="O47" s="4"/>
      <c r="P47" s="16"/>
      <c r="R47" s="1"/>
    </row>
    <row r="48" spans="1:18" ht="14.25" x14ac:dyDescent="0.2">
      <c r="A48" s="30" t="s">
        <v>121</v>
      </c>
      <c r="B48" s="27" t="s">
        <v>48</v>
      </c>
      <c r="C48" s="22" t="s">
        <v>120</v>
      </c>
      <c r="D48" s="24">
        <v>1830</v>
      </c>
      <c r="E48" s="24">
        <v>1997</v>
      </c>
      <c r="F48" s="24" t="s">
        <v>51</v>
      </c>
      <c r="G48" s="4" t="s">
        <v>28</v>
      </c>
      <c r="H48" s="3"/>
      <c r="I48" s="4"/>
      <c r="J48" s="4"/>
      <c r="K48" s="4"/>
      <c r="L48" s="4"/>
      <c r="M48" s="4"/>
      <c r="N48" s="4"/>
      <c r="O48" s="4"/>
      <c r="P48" s="10"/>
      <c r="R48" s="1"/>
    </row>
    <row r="49" spans="1:18" ht="14.25" x14ac:dyDescent="0.2">
      <c r="A49" s="30" t="s">
        <v>123</v>
      </c>
      <c r="B49" s="27" t="s">
        <v>48</v>
      </c>
      <c r="C49" s="22" t="s">
        <v>122</v>
      </c>
      <c r="D49" s="24">
        <v>1909</v>
      </c>
      <c r="E49" s="24">
        <v>2002</v>
      </c>
      <c r="F49" s="24" t="s">
        <v>51</v>
      </c>
      <c r="G49" s="4" t="s">
        <v>28</v>
      </c>
      <c r="H49" s="3"/>
      <c r="I49" s="4"/>
      <c r="J49" s="4"/>
      <c r="K49" s="4"/>
      <c r="L49" s="4"/>
      <c r="M49" s="4"/>
      <c r="N49" s="4"/>
      <c r="O49" s="4"/>
      <c r="P49" s="13"/>
      <c r="R49" s="1"/>
    </row>
    <row r="50" spans="1:18" ht="14.25" x14ac:dyDescent="0.2">
      <c r="A50" s="30" t="s">
        <v>125</v>
      </c>
      <c r="B50" s="27" t="s">
        <v>48</v>
      </c>
      <c r="C50" s="22" t="s">
        <v>124</v>
      </c>
      <c r="D50" s="24">
        <v>1970</v>
      </c>
      <c r="E50" s="24">
        <v>1979</v>
      </c>
      <c r="F50" s="24" t="s">
        <v>51</v>
      </c>
      <c r="G50" s="4" t="s">
        <v>28</v>
      </c>
      <c r="H50" s="3"/>
      <c r="I50" s="4"/>
      <c r="J50" s="4"/>
      <c r="K50" s="4"/>
      <c r="L50" s="4"/>
      <c r="M50" s="4"/>
      <c r="N50" s="4"/>
      <c r="O50" s="4"/>
      <c r="P50" s="16"/>
      <c r="R50" s="1"/>
    </row>
    <row r="51" spans="1:18" ht="14.25" x14ac:dyDescent="0.2">
      <c r="A51" s="30" t="s">
        <v>127</v>
      </c>
      <c r="B51" s="27" t="s">
        <v>48</v>
      </c>
      <c r="C51" s="22" t="s">
        <v>126</v>
      </c>
      <c r="D51" s="24">
        <v>1934</v>
      </c>
      <c r="E51" s="24">
        <v>1984</v>
      </c>
      <c r="F51" s="24" t="s">
        <v>51</v>
      </c>
      <c r="G51" s="4" t="s">
        <v>28</v>
      </c>
      <c r="H51" s="3"/>
      <c r="I51" s="1"/>
      <c r="P51" s="11"/>
      <c r="R51" s="1"/>
    </row>
    <row r="52" spans="1:18" ht="14.25" x14ac:dyDescent="0.2">
      <c r="A52" s="30" t="s">
        <v>129</v>
      </c>
      <c r="B52" s="27" t="s">
        <v>48</v>
      </c>
      <c r="C52" s="22" t="s">
        <v>128</v>
      </c>
      <c r="D52" s="24">
        <v>1800</v>
      </c>
      <c r="E52" s="24">
        <v>1930</v>
      </c>
      <c r="F52" s="24" t="s">
        <v>51</v>
      </c>
      <c r="G52" s="4" t="s">
        <v>28</v>
      </c>
      <c r="H52" s="3"/>
      <c r="I52" s="4"/>
      <c r="J52" s="4"/>
      <c r="K52" s="4"/>
      <c r="L52" s="4"/>
      <c r="M52" s="4"/>
      <c r="N52" s="4"/>
      <c r="O52" s="4"/>
      <c r="P52" s="10"/>
      <c r="R52" s="1"/>
    </row>
    <row r="53" spans="1:18" ht="14.25" x14ac:dyDescent="0.2">
      <c r="A53" s="30" t="s">
        <v>131</v>
      </c>
      <c r="B53" s="27" t="s">
        <v>48</v>
      </c>
      <c r="C53" s="22" t="s">
        <v>130</v>
      </c>
      <c r="D53" s="24">
        <v>1900</v>
      </c>
      <c r="E53" s="24">
        <v>1940</v>
      </c>
      <c r="F53" s="24" t="s">
        <v>51</v>
      </c>
      <c r="G53" s="4" t="s">
        <v>28</v>
      </c>
      <c r="H53" s="7"/>
      <c r="I53" s="4"/>
      <c r="J53" s="4"/>
      <c r="K53" s="4"/>
      <c r="L53" s="4"/>
      <c r="M53" s="4"/>
      <c r="N53" s="4"/>
      <c r="O53" s="4"/>
      <c r="P53" s="16"/>
      <c r="R53" s="1"/>
    </row>
    <row r="54" spans="1:18" ht="14.25" x14ac:dyDescent="0.2">
      <c r="A54" s="30" t="s">
        <v>133</v>
      </c>
      <c r="B54" s="27" t="s">
        <v>48</v>
      </c>
      <c r="C54" s="22" t="s">
        <v>132</v>
      </c>
      <c r="D54" s="24">
        <v>1945</v>
      </c>
      <c r="E54" s="24">
        <v>1945</v>
      </c>
      <c r="F54" s="24" t="s">
        <v>51</v>
      </c>
      <c r="G54" s="4" t="s">
        <v>28</v>
      </c>
      <c r="H54" s="7"/>
      <c r="I54" s="4"/>
      <c r="J54" s="4"/>
      <c r="K54" s="4"/>
      <c r="L54" s="4"/>
      <c r="M54" s="4"/>
      <c r="N54" s="4"/>
      <c r="O54" s="4"/>
      <c r="P54" s="16"/>
      <c r="R54" s="1"/>
    </row>
    <row r="55" spans="1:18" ht="14.25" x14ac:dyDescent="0.2">
      <c r="A55" s="30" t="s">
        <v>135</v>
      </c>
      <c r="B55" s="27" t="s">
        <v>48</v>
      </c>
      <c r="C55" s="22" t="s">
        <v>134</v>
      </c>
      <c r="D55" s="24">
        <v>1846</v>
      </c>
      <c r="E55" s="24">
        <v>1951</v>
      </c>
      <c r="F55" s="24" t="s">
        <v>51</v>
      </c>
      <c r="G55" s="4" t="s">
        <v>28</v>
      </c>
      <c r="H55" s="2"/>
      <c r="I55" s="1"/>
      <c r="J55" s="4"/>
      <c r="K55" s="4"/>
      <c r="L55" s="4"/>
      <c r="M55" s="4"/>
      <c r="N55" s="4"/>
      <c r="O55" s="4"/>
      <c r="P55" s="13"/>
      <c r="R55" s="1"/>
    </row>
    <row r="56" spans="1:18" ht="14.25" x14ac:dyDescent="0.2">
      <c r="A56" s="30" t="s">
        <v>137</v>
      </c>
      <c r="B56" s="27" t="s">
        <v>48</v>
      </c>
      <c r="C56" s="22" t="s">
        <v>136</v>
      </c>
      <c r="D56" s="24">
        <v>1894</v>
      </c>
      <c r="E56" s="24">
        <v>1952</v>
      </c>
      <c r="F56" s="24" t="s">
        <v>51</v>
      </c>
      <c r="G56" s="4" t="s">
        <v>28</v>
      </c>
      <c r="H56" s="3"/>
      <c r="I56" s="4"/>
      <c r="J56" s="4"/>
      <c r="K56" s="4"/>
      <c r="L56" s="4"/>
      <c r="M56" s="5"/>
      <c r="N56" s="4"/>
      <c r="O56" s="4"/>
      <c r="P56" s="10"/>
      <c r="R56" s="1"/>
    </row>
    <row r="57" spans="1:18" ht="14.25" x14ac:dyDescent="0.2">
      <c r="A57" s="30" t="s">
        <v>139</v>
      </c>
      <c r="B57" s="27" t="s">
        <v>48</v>
      </c>
      <c r="C57" s="22" t="s">
        <v>138</v>
      </c>
      <c r="D57" s="24">
        <v>1818</v>
      </c>
      <c r="E57" s="24">
        <v>1818</v>
      </c>
      <c r="F57" s="24" t="s">
        <v>51</v>
      </c>
      <c r="G57" s="4" t="s">
        <v>28</v>
      </c>
      <c r="H57" s="4"/>
      <c r="I57" s="4"/>
      <c r="J57" s="4"/>
      <c r="K57" s="4"/>
      <c r="L57" s="4"/>
      <c r="M57" s="4"/>
      <c r="N57" s="4"/>
      <c r="O57" s="4"/>
      <c r="P57" s="10"/>
      <c r="R57" s="1"/>
    </row>
    <row r="58" spans="1:18" ht="14.25" x14ac:dyDescent="0.2">
      <c r="A58" s="30" t="s">
        <v>141</v>
      </c>
      <c r="B58" s="27" t="s">
        <v>48</v>
      </c>
      <c r="C58" s="22" t="s">
        <v>140</v>
      </c>
      <c r="D58" s="24">
        <v>1941</v>
      </c>
      <c r="E58" s="24">
        <v>1994</v>
      </c>
      <c r="F58" s="24" t="s">
        <v>51</v>
      </c>
      <c r="G58" s="4" t="s">
        <v>28</v>
      </c>
      <c r="H58" s="2"/>
      <c r="I58" s="1"/>
      <c r="P58" s="11"/>
      <c r="R58" s="1"/>
    </row>
    <row r="59" spans="1:18" ht="14.25" x14ac:dyDescent="0.2">
      <c r="A59" s="30" t="s">
        <v>143</v>
      </c>
      <c r="B59" s="27" t="s">
        <v>48</v>
      </c>
      <c r="C59" s="22" t="s">
        <v>142</v>
      </c>
      <c r="D59" s="24">
        <v>1950</v>
      </c>
      <c r="E59" s="24">
        <v>2016</v>
      </c>
      <c r="F59" s="24" t="s">
        <v>51</v>
      </c>
      <c r="G59" s="4" t="s">
        <v>28</v>
      </c>
      <c r="H59" s="7"/>
      <c r="I59" s="4"/>
      <c r="J59" s="4"/>
      <c r="K59" s="4"/>
      <c r="L59" s="4"/>
      <c r="M59" s="4"/>
      <c r="N59" s="4"/>
      <c r="O59" s="4"/>
      <c r="P59" s="13"/>
      <c r="R59" s="1"/>
    </row>
    <row r="60" spans="1:18" ht="14.25" x14ac:dyDescent="0.2">
      <c r="A60" s="30" t="s">
        <v>145</v>
      </c>
      <c r="B60" s="27" t="s">
        <v>48</v>
      </c>
      <c r="C60" s="22" t="s">
        <v>144</v>
      </c>
      <c r="D60" s="24">
        <v>1940</v>
      </c>
      <c r="E60" s="24">
        <v>2015</v>
      </c>
      <c r="F60" s="24" t="s">
        <v>51</v>
      </c>
      <c r="G60" s="4" t="s">
        <v>28</v>
      </c>
      <c r="H60" s="3"/>
      <c r="I60" s="4"/>
      <c r="J60" s="4"/>
      <c r="K60" s="4"/>
      <c r="L60" s="4"/>
      <c r="M60" s="4"/>
      <c r="N60" s="4"/>
      <c r="O60" s="4"/>
      <c r="P60" s="10"/>
      <c r="R60" s="1"/>
    </row>
    <row r="61" spans="1:18" ht="14.25" x14ac:dyDescent="0.2">
      <c r="A61" s="30" t="s">
        <v>147</v>
      </c>
      <c r="B61" s="27" t="s">
        <v>48</v>
      </c>
      <c r="C61" s="22" t="s">
        <v>146</v>
      </c>
      <c r="D61" s="24">
        <v>1926</v>
      </c>
      <c r="E61" s="4">
        <v>1985</v>
      </c>
      <c r="F61" s="25" t="s">
        <v>51</v>
      </c>
      <c r="G61" s="4" t="s">
        <v>28</v>
      </c>
      <c r="H61" s="3"/>
      <c r="I61" s="4"/>
      <c r="J61" s="4"/>
      <c r="K61" s="4"/>
      <c r="L61" s="4"/>
      <c r="M61" s="4"/>
      <c r="N61" s="4"/>
      <c r="O61" s="4"/>
      <c r="P61" s="13"/>
      <c r="R61" s="1"/>
    </row>
    <row r="62" spans="1:18" ht="14.25" x14ac:dyDescent="0.2">
      <c r="A62" s="30" t="s">
        <v>149</v>
      </c>
      <c r="B62" s="27" t="s">
        <v>48</v>
      </c>
      <c r="C62" s="22" t="s">
        <v>148</v>
      </c>
      <c r="D62" s="24">
        <v>1942</v>
      </c>
      <c r="E62" s="24">
        <v>1942</v>
      </c>
      <c r="F62" s="24" t="s">
        <v>51</v>
      </c>
      <c r="G62" s="4" t="s">
        <v>28</v>
      </c>
      <c r="H62" s="3"/>
      <c r="I62" s="4"/>
      <c r="J62" s="4"/>
      <c r="K62" s="4"/>
      <c r="L62" s="4"/>
      <c r="M62" s="4"/>
      <c r="N62" s="4"/>
      <c r="O62" s="4"/>
      <c r="P62" s="16"/>
      <c r="R62" s="1"/>
    </row>
    <row r="63" spans="1:18" ht="14.25" x14ac:dyDescent="0.2">
      <c r="A63" s="30" t="s">
        <v>151</v>
      </c>
      <c r="B63" s="27" t="s">
        <v>48</v>
      </c>
      <c r="C63" s="22" t="s">
        <v>150</v>
      </c>
      <c r="D63" s="24">
        <v>1889</v>
      </c>
      <c r="E63" s="24">
        <v>1889</v>
      </c>
      <c r="F63" s="24" t="s">
        <v>51</v>
      </c>
      <c r="G63" s="4" t="s">
        <v>28</v>
      </c>
      <c r="H63" s="3"/>
      <c r="I63" s="4"/>
      <c r="J63" s="4"/>
      <c r="K63" s="4"/>
      <c r="L63" s="4"/>
      <c r="M63" s="4"/>
      <c r="N63" s="4"/>
      <c r="O63" s="4"/>
      <c r="P63" s="13"/>
      <c r="R63" s="1"/>
    </row>
    <row r="64" spans="1:18" ht="14.25" x14ac:dyDescent="0.2">
      <c r="A64" s="30" t="s">
        <v>153</v>
      </c>
      <c r="B64" s="27" t="s">
        <v>48</v>
      </c>
      <c r="C64" s="22" t="s">
        <v>152</v>
      </c>
      <c r="D64" s="24">
        <v>1909</v>
      </c>
      <c r="E64" s="24">
        <v>1981</v>
      </c>
      <c r="F64" s="24" t="s">
        <v>51</v>
      </c>
      <c r="G64" s="4" t="s">
        <v>28</v>
      </c>
      <c r="H64" s="3"/>
      <c r="I64" s="1"/>
      <c r="P64" s="11"/>
      <c r="R64" s="1"/>
    </row>
    <row r="65" spans="1:18" ht="14.25" x14ac:dyDescent="0.2">
      <c r="A65" s="30" t="s">
        <v>155</v>
      </c>
      <c r="B65" s="27" t="s">
        <v>48</v>
      </c>
      <c r="C65" s="22" t="s">
        <v>154</v>
      </c>
      <c r="D65" s="24">
        <v>1914</v>
      </c>
      <c r="E65" s="24">
        <v>2016</v>
      </c>
      <c r="F65" s="24" t="s">
        <v>51</v>
      </c>
      <c r="G65" s="4" t="s">
        <v>28</v>
      </c>
      <c r="H65" s="3"/>
      <c r="I65" s="4"/>
      <c r="J65" s="4"/>
      <c r="K65" s="4"/>
      <c r="L65" s="4"/>
      <c r="M65" s="4"/>
      <c r="N65" s="4"/>
      <c r="O65" s="4"/>
      <c r="P65" s="10"/>
      <c r="R65" s="1"/>
    </row>
    <row r="66" spans="1:18" ht="14.25" x14ac:dyDescent="0.2">
      <c r="A66" s="30" t="s">
        <v>157</v>
      </c>
      <c r="B66" s="27" t="s">
        <v>48</v>
      </c>
      <c r="C66" s="22" t="s">
        <v>156</v>
      </c>
      <c r="D66" s="24">
        <v>1913</v>
      </c>
      <c r="E66" s="24">
        <v>1969</v>
      </c>
      <c r="F66" s="24" t="s">
        <v>51</v>
      </c>
      <c r="G66" s="4" t="s">
        <v>28</v>
      </c>
      <c r="H66" s="4"/>
      <c r="I66" s="4"/>
      <c r="J66" s="4"/>
      <c r="K66" s="4"/>
      <c r="L66" s="4"/>
      <c r="M66" s="4"/>
      <c r="N66" s="4"/>
      <c r="O66" s="4"/>
      <c r="P66" s="10"/>
      <c r="R66" s="1"/>
    </row>
    <row r="67" spans="1:18" ht="14.25" x14ac:dyDescent="0.2">
      <c r="A67" s="30" t="s">
        <v>159</v>
      </c>
      <c r="B67" s="27" t="s">
        <v>48</v>
      </c>
      <c r="C67" s="22" t="s">
        <v>158</v>
      </c>
      <c r="D67" s="24">
        <v>1820</v>
      </c>
      <c r="E67" s="24">
        <v>2005</v>
      </c>
      <c r="F67" s="24" t="s">
        <v>51</v>
      </c>
      <c r="G67" s="4" t="s">
        <v>28</v>
      </c>
      <c r="H67" s="4"/>
      <c r="I67" s="4"/>
      <c r="J67" s="4"/>
      <c r="K67" s="4"/>
      <c r="L67" s="4"/>
      <c r="M67" s="4"/>
      <c r="N67" s="4"/>
      <c r="O67" s="4"/>
      <c r="P67" s="10"/>
      <c r="R67" s="1"/>
    </row>
    <row r="68" spans="1:18" ht="14.25" x14ac:dyDescent="0.2">
      <c r="A68" s="30" t="s">
        <v>161</v>
      </c>
      <c r="B68" s="27" t="s">
        <v>48</v>
      </c>
      <c r="C68" s="22" t="s">
        <v>160</v>
      </c>
      <c r="D68" s="24">
        <v>1822</v>
      </c>
      <c r="E68" s="24">
        <v>1904</v>
      </c>
      <c r="F68" s="24" t="s">
        <v>51</v>
      </c>
      <c r="G68" s="4" t="s">
        <v>28</v>
      </c>
      <c r="H68" s="4"/>
      <c r="I68" s="4"/>
      <c r="J68" s="4"/>
      <c r="K68" s="4"/>
      <c r="L68" s="4"/>
      <c r="M68" s="4"/>
      <c r="N68" s="4"/>
      <c r="O68" s="4"/>
      <c r="P68" s="10"/>
      <c r="R68" s="1"/>
    </row>
    <row r="69" spans="1:18" ht="14.25" x14ac:dyDescent="0.2">
      <c r="A69" s="30" t="s">
        <v>163</v>
      </c>
      <c r="B69" s="27" t="s">
        <v>48</v>
      </c>
      <c r="C69" s="22" t="s">
        <v>162</v>
      </c>
      <c r="D69" s="24">
        <v>1862</v>
      </c>
      <c r="E69" s="24">
        <v>1880</v>
      </c>
      <c r="F69" s="24" t="s">
        <v>51</v>
      </c>
      <c r="G69" s="4" t="s">
        <v>28</v>
      </c>
      <c r="H69" s="4"/>
      <c r="I69" s="4"/>
      <c r="J69" s="4"/>
      <c r="K69" s="4"/>
      <c r="L69" s="4"/>
      <c r="M69" s="4"/>
      <c r="N69" s="4"/>
      <c r="O69" s="4"/>
      <c r="P69" s="10"/>
      <c r="R69" s="1"/>
    </row>
    <row r="70" spans="1:18" ht="14.25" x14ac:dyDescent="0.2">
      <c r="A70" s="30" t="s">
        <v>165</v>
      </c>
      <c r="B70" s="27" t="s">
        <v>48</v>
      </c>
      <c r="C70" s="22" t="s">
        <v>164</v>
      </c>
      <c r="D70" s="24">
        <v>1897</v>
      </c>
      <c r="E70" s="24">
        <v>1975</v>
      </c>
      <c r="F70" s="24" t="s">
        <v>51</v>
      </c>
      <c r="G70" s="4" t="s">
        <v>28</v>
      </c>
      <c r="H70" s="4"/>
      <c r="I70" s="4"/>
      <c r="J70" s="4"/>
      <c r="K70" s="4"/>
      <c r="L70" s="4"/>
      <c r="M70" s="4"/>
      <c r="N70" s="4"/>
      <c r="O70" s="4"/>
      <c r="P70" s="10"/>
      <c r="R70" s="1"/>
    </row>
    <row r="71" spans="1:18" ht="14.25" x14ac:dyDescent="0.2">
      <c r="A71" s="30" t="s">
        <v>167</v>
      </c>
      <c r="B71" s="27" t="s">
        <v>48</v>
      </c>
      <c r="C71" s="22" t="s">
        <v>166</v>
      </c>
      <c r="D71" s="24">
        <v>1922</v>
      </c>
      <c r="E71" s="24">
        <v>2015</v>
      </c>
      <c r="F71" s="24" t="s">
        <v>51</v>
      </c>
      <c r="G71" s="4" t="s">
        <v>28</v>
      </c>
      <c r="H71" s="4"/>
      <c r="I71" s="4"/>
      <c r="J71" s="4"/>
      <c r="K71" s="4"/>
      <c r="L71" s="4"/>
      <c r="M71" s="4"/>
      <c r="N71" s="4"/>
      <c r="O71" s="4"/>
      <c r="P71" s="10"/>
      <c r="R71" s="1"/>
    </row>
    <row r="72" spans="1:18" ht="14.25" x14ac:dyDescent="0.2">
      <c r="A72" s="30" t="s">
        <v>169</v>
      </c>
      <c r="B72" s="27" t="s">
        <v>48</v>
      </c>
      <c r="C72" s="22" t="s">
        <v>168</v>
      </c>
      <c r="D72" s="24">
        <v>1883</v>
      </c>
      <c r="E72" s="24">
        <v>1955</v>
      </c>
      <c r="F72" s="24" t="s">
        <v>51</v>
      </c>
      <c r="G72" s="4" t="s">
        <v>28</v>
      </c>
      <c r="H72" s="4"/>
      <c r="I72" s="4"/>
      <c r="J72" s="4"/>
      <c r="K72" s="4"/>
      <c r="L72" s="4"/>
      <c r="M72" s="4"/>
      <c r="N72" s="4"/>
      <c r="O72" s="4"/>
      <c r="P72" s="10"/>
      <c r="R72" s="1"/>
    </row>
    <row r="73" spans="1:18" ht="14.25" x14ac:dyDescent="0.2">
      <c r="A73" s="30" t="s">
        <v>171</v>
      </c>
      <c r="B73" s="27" t="s">
        <v>48</v>
      </c>
      <c r="C73" s="22" t="s">
        <v>170</v>
      </c>
      <c r="D73" s="24">
        <v>1874</v>
      </c>
      <c r="E73" s="24">
        <v>9153</v>
      </c>
      <c r="F73" s="24" t="s">
        <v>51</v>
      </c>
      <c r="G73" s="4" t="s">
        <v>28</v>
      </c>
      <c r="H73" s="4"/>
      <c r="I73" s="4"/>
      <c r="J73" s="4"/>
      <c r="K73" s="4"/>
      <c r="L73" s="4"/>
      <c r="M73" s="4"/>
      <c r="N73" s="4"/>
      <c r="O73" s="4"/>
      <c r="P73" s="10"/>
      <c r="R73" s="1"/>
    </row>
    <row r="74" spans="1:18" ht="14.25" x14ac:dyDescent="0.2">
      <c r="A74" s="30" t="s">
        <v>172</v>
      </c>
      <c r="B74" s="27" t="s">
        <v>48</v>
      </c>
      <c r="C74" s="22" t="s">
        <v>173</v>
      </c>
      <c r="D74" s="24">
        <v>1890</v>
      </c>
      <c r="E74" s="24">
        <v>2005</v>
      </c>
      <c r="F74" s="24" t="s">
        <v>51</v>
      </c>
      <c r="G74" s="4" t="s">
        <v>28</v>
      </c>
      <c r="H74" s="4"/>
      <c r="I74" s="4"/>
      <c r="J74" s="4"/>
      <c r="K74" s="4"/>
      <c r="L74" s="4"/>
      <c r="M74" s="4"/>
      <c r="N74" s="4"/>
      <c r="O74" s="4"/>
      <c r="P74" s="10"/>
      <c r="R74" s="1"/>
    </row>
    <row r="75" spans="1:18" ht="14.25" x14ac:dyDescent="0.2">
      <c r="A75" s="30" t="s">
        <v>175</v>
      </c>
      <c r="B75" s="27" t="s">
        <v>48</v>
      </c>
      <c r="C75" s="22" t="s">
        <v>174</v>
      </c>
      <c r="D75" s="24">
        <v>1745</v>
      </c>
      <c r="E75" s="24">
        <v>1978</v>
      </c>
      <c r="F75" s="24" t="s">
        <v>51</v>
      </c>
      <c r="G75" s="4" t="s">
        <v>28</v>
      </c>
      <c r="H75" s="4"/>
      <c r="I75" s="4"/>
      <c r="J75" s="4"/>
      <c r="K75" s="4"/>
      <c r="L75" s="4"/>
      <c r="M75" s="4"/>
      <c r="N75" s="4"/>
      <c r="O75" s="4"/>
      <c r="P75" s="10"/>
      <c r="R75" s="1"/>
    </row>
    <row r="76" spans="1:18" ht="14.25" x14ac:dyDescent="0.2">
      <c r="A76" s="30" t="s">
        <v>177</v>
      </c>
      <c r="B76" s="27" t="s">
        <v>48</v>
      </c>
      <c r="C76" s="22" t="s">
        <v>176</v>
      </c>
      <c r="D76" s="24">
        <v>1867</v>
      </c>
      <c r="E76" s="24">
        <v>1906</v>
      </c>
      <c r="F76" s="24" t="s">
        <v>51</v>
      </c>
      <c r="G76" s="4" t="s">
        <v>28</v>
      </c>
      <c r="H76" s="4"/>
      <c r="I76" s="4"/>
      <c r="J76" s="4"/>
      <c r="K76" s="4"/>
      <c r="L76" s="4"/>
      <c r="M76" s="4"/>
      <c r="N76" s="4"/>
      <c r="O76" s="4"/>
      <c r="P76" s="10"/>
      <c r="R76" s="1"/>
    </row>
    <row r="77" spans="1:18" ht="14.25" x14ac:dyDescent="0.2">
      <c r="A77" s="30" t="s">
        <v>179</v>
      </c>
      <c r="B77" s="27" t="s">
        <v>48</v>
      </c>
      <c r="C77" s="22" t="s">
        <v>178</v>
      </c>
      <c r="D77" s="24">
        <v>1905</v>
      </c>
      <c r="E77" s="24">
        <v>1995</v>
      </c>
      <c r="F77" s="24" t="s">
        <v>51</v>
      </c>
      <c r="G77" s="4" t="s">
        <v>28</v>
      </c>
      <c r="H77" s="4"/>
      <c r="I77" s="4"/>
      <c r="J77" s="4"/>
      <c r="K77" s="4"/>
      <c r="L77" s="4"/>
      <c r="M77" s="4"/>
      <c r="N77" s="4"/>
      <c r="O77" s="4"/>
      <c r="P77" s="10"/>
      <c r="R77" s="1"/>
    </row>
    <row r="78" spans="1:18" ht="14.25" x14ac:dyDescent="0.2">
      <c r="A78" s="30" t="s">
        <v>181</v>
      </c>
      <c r="B78" s="27" t="s">
        <v>48</v>
      </c>
      <c r="C78" s="22" t="s">
        <v>180</v>
      </c>
      <c r="D78" s="24">
        <v>1903</v>
      </c>
      <c r="E78" s="24">
        <v>2005</v>
      </c>
      <c r="F78" s="24" t="s">
        <v>51</v>
      </c>
      <c r="G78" s="4" t="s">
        <v>28</v>
      </c>
      <c r="H78" s="4"/>
      <c r="I78" s="4"/>
      <c r="J78" s="4"/>
      <c r="K78" s="4"/>
      <c r="L78" s="4"/>
      <c r="M78" s="4"/>
      <c r="N78" s="4"/>
      <c r="O78" s="4"/>
      <c r="P78" s="10"/>
      <c r="R78" s="1"/>
    </row>
    <row r="79" spans="1:18" ht="14.25" x14ac:dyDescent="0.2">
      <c r="A79" s="30" t="s">
        <v>183</v>
      </c>
      <c r="B79" s="27" t="s">
        <v>48</v>
      </c>
      <c r="C79" s="22" t="s">
        <v>182</v>
      </c>
      <c r="D79" s="24">
        <v>1885</v>
      </c>
      <c r="E79" s="24">
        <v>1959</v>
      </c>
      <c r="F79" s="24" t="s">
        <v>51</v>
      </c>
      <c r="G79" s="4" t="s">
        <v>28</v>
      </c>
      <c r="H79" s="4"/>
      <c r="I79" s="4"/>
      <c r="J79" s="4"/>
      <c r="K79" s="4"/>
      <c r="L79" s="4"/>
      <c r="M79" s="4"/>
      <c r="N79" s="4"/>
      <c r="O79" s="4"/>
      <c r="P79" s="10"/>
      <c r="R79" s="1"/>
    </row>
    <row r="80" spans="1:18" ht="14.25" x14ac:dyDescent="0.2">
      <c r="A80" s="30" t="s">
        <v>185</v>
      </c>
      <c r="B80" s="27" t="s">
        <v>48</v>
      </c>
      <c r="C80" s="22" t="s">
        <v>184</v>
      </c>
      <c r="D80" s="24">
        <v>1924</v>
      </c>
      <c r="E80" s="24">
        <v>2015</v>
      </c>
      <c r="F80" s="24" t="s">
        <v>51</v>
      </c>
      <c r="G80" s="4" t="s">
        <v>28</v>
      </c>
      <c r="H80" s="4"/>
      <c r="I80" s="4"/>
      <c r="J80" s="4"/>
      <c r="K80" s="4"/>
      <c r="L80" s="4"/>
      <c r="M80" s="4"/>
      <c r="N80" s="4"/>
      <c r="O80" s="4"/>
      <c r="P80" s="10"/>
      <c r="R80" s="1"/>
    </row>
    <row r="81" spans="1:18" ht="14.25" x14ac:dyDescent="0.2">
      <c r="A81" s="30" t="s">
        <v>187</v>
      </c>
      <c r="B81" s="27" t="s">
        <v>48</v>
      </c>
      <c r="C81" s="22" t="s">
        <v>186</v>
      </c>
      <c r="D81" s="24">
        <v>1911</v>
      </c>
      <c r="E81" s="24">
        <v>1964</v>
      </c>
      <c r="F81" s="24" t="s">
        <v>51</v>
      </c>
      <c r="G81" s="4" t="s">
        <v>28</v>
      </c>
      <c r="H81" s="4"/>
      <c r="I81" s="4"/>
      <c r="J81" s="4"/>
      <c r="K81" s="4"/>
      <c r="L81" s="4"/>
      <c r="M81" s="4"/>
      <c r="N81" s="4"/>
      <c r="O81" s="4"/>
      <c r="P81" s="10"/>
      <c r="R81" s="1"/>
    </row>
    <row r="82" spans="1:18" ht="14.25" x14ac:dyDescent="0.2">
      <c r="A82" s="30" t="s">
        <v>189</v>
      </c>
      <c r="B82" s="27" t="s">
        <v>48</v>
      </c>
      <c r="C82" s="22" t="s">
        <v>188</v>
      </c>
      <c r="D82" s="24">
        <v>1893</v>
      </c>
      <c r="E82" s="24">
        <v>1987</v>
      </c>
      <c r="F82" s="24" t="s">
        <v>51</v>
      </c>
      <c r="G82" s="4" t="s">
        <v>28</v>
      </c>
      <c r="H82" s="4"/>
      <c r="I82" s="4"/>
      <c r="J82" s="4"/>
      <c r="K82" s="4"/>
      <c r="L82" s="4"/>
      <c r="M82" s="4"/>
      <c r="N82" s="4"/>
      <c r="O82" s="4"/>
      <c r="P82" s="10"/>
      <c r="R82" s="1"/>
    </row>
    <row r="83" spans="1:18" ht="14.25" x14ac:dyDescent="0.2">
      <c r="A83" s="30" t="s">
        <v>191</v>
      </c>
      <c r="B83" s="27" t="s">
        <v>48</v>
      </c>
      <c r="C83" s="22" t="s">
        <v>190</v>
      </c>
      <c r="D83" s="24">
        <v>1850</v>
      </c>
      <c r="E83" s="24">
        <v>1997</v>
      </c>
      <c r="F83" s="24" t="s">
        <v>51</v>
      </c>
      <c r="G83" s="4" t="s">
        <v>28</v>
      </c>
      <c r="H83" s="3"/>
      <c r="I83" s="4"/>
      <c r="J83" s="4"/>
      <c r="K83" s="4"/>
      <c r="L83" s="4"/>
      <c r="M83" s="4"/>
      <c r="N83" s="4"/>
      <c r="O83" s="4"/>
      <c r="P83" s="10"/>
      <c r="R83" s="1"/>
    </row>
    <row r="84" spans="1:18" ht="14.25" x14ac:dyDescent="0.2">
      <c r="A84" s="30" t="s">
        <v>193</v>
      </c>
      <c r="B84" s="27" t="s">
        <v>48</v>
      </c>
      <c r="C84" s="22" t="s">
        <v>192</v>
      </c>
      <c r="D84" s="24">
        <v>1918</v>
      </c>
      <c r="E84" s="24">
        <v>2005</v>
      </c>
      <c r="F84" s="24" t="s">
        <v>51</v>
      </c>
      <c r="G84" s="4" t="s">
        <v>28</v>
      </c>
      <c r="H84" s="2"/>
      <c r="I84" s="1"/>
      <c r="P84" s="11"/>
      <c r="R84" s="1"/>
    </row>
    <row r="85" spans="1:18" ht="14.25" x14ac:dyDescent="0.2">
      <c r="A85" s="30" t="s">
        <v>195</v>
      </c>
      <c r="B85" s="27" t="s">
        <v>48</v>
      </c>
      <c r="C85" s="22" t="s">
        <v>194</v>
      </c>
      <c r="D85" s="24">
        <v>1854</v>
      </c>
      <c r="E85" s="24">
        <v>1924</v>
      </c>
      <c r="F85" s="24" t="s">
        <v>51</v>
      </c>
      <c r="G85" s="4" t="s">
        <v>28</v>
      </c>
      <c r="H85" s="4"/>
      <c r="I85" s="4"/>
      <c r="J85" s="4"/>
      <c r="K85" s="4"/>
      <c r="L85" s="4"/>
      <c r="M85" s="4"/>
      <c r="N85" s="4"/>
      <c r="O85" s="4"/>
      <c r="P85" s="10"/>
      <c r="R85" s="1"/>
    </row>
    <row r="86" spans="1:18" ht="14.25" x14ac:dyDescent="0.2">
      <c r="A86" s="30" t="s">
        <v>197</v>
      </c>
      <c r="B86" s="27" t="s">
        <v>48</v>
      </c>
      <c r="C86" s="22" t="s">
        <v>196</v>
      </c>
      <c r="D86" s="24">
        <v>1882</v>
      </c>
      <c r="E86" s="24">
        <v>2019</v>
      </c>
      <c r="F86" s="24" t="s">
        <v>51</v>
      </c>
      <c r="G86" s="4" t="s">
        <v>28</v>
      </c>
      <c r="H86" s="3"/>
      <c r="I86" s="4"/>
      <c r="J86" s="4"/>
      <c r="K86" s="4"/>
      <c r="L86" s="4"/>
      <c r="M86" s="4"/>
      <c r="N86" s="4"/>
      <c r="O86" s="4"/>
      <c r="P86" s="10"/>
      <c r="R86" s="1"/>
    </row>
    <row r="87" spans="1:18" ht="14.25" x14ac:dyDescent="0.2">
      <c r="A87" s="30" t="s">
        <v>199</v>
      </c>
      <c r="B87" s="27" t="s">
        <v>48</v>
      </c>
      <c r="C87" s="22" t="s">
        <v>198</v>
      </c>
      <c r="D87" s="24">
        <v>1895</v>
      </c>
      <c r="E87" s="24">
        <v>1980</v>
      </c>
      <c r="F87" s="24" t="s">
        <v>51</v>
      </c>
      <c r="G87" s="4" t="s">
        <v>28</v>
      </c>
      <c r="H87" s="4"/>
      <c r="I87" s="4"/>
      <c r="J87" s="4"/>
      <c r="K87" s="4"/>
      <c r="L87" s="4"/>
      <c r="M87" s="4"/>
      <c r="N87" s="4"/>
      <c r="O87" s="4"/>
      <c r="P87" s="10"/>
      <c r="R87" s="1"/>
    </row>
    <row r="88" spans="1:18" ht="14.25" x14ac:dyDescent="0.2">
      <c r="A88" s="30" t="s">
        <v>201</v>
      </c>
      <c r="B88" s="27" t="s">
        <v>48</v>
      </c>
      <c r="C88" s="22" t="s">
        <v>200</v>
      </c>
      <c r="D88" s="24">
        <v>1895</v>
      </c>
      <c r="E88" s="24">
        <v>1980</v>
      </c>
      <c r="F88" s="24" t="s">
        <v>51</v>
      </c>
      <c r="G88" s="4" t="s">
        <v>28</v>
      </c>
      <c r="H88" s="4"/>
      <c r="I88" s="4"/>
      <c r="J88" s="4"/>
      <c r="K88" s="4"/>
      <c r="L88" s="4"/>
      <c r="M88" s="4"/>
      <c r="N88" s="4"/>
      <c r="O88" s="4"/>
      <c r="P88" s="10"/>
      <c r="R88" s="1"/>
    </row>
    <row r="89" spans="1:18" ht="14.25" x14ac:dyDescent="0.2">
      <c r="A89" s="30" t="s">
        <v>203</v>
      </c>
      <c r="B89" s="27" t="s">
        <v>48</v>
      </c>
      <c r="C89" s="22" t="s">
        <v>202</v>
      </c>
      <c r="D89" s="24">
        <v>1841</v>
      </c>
      <c r="E89" s="24">
        <v>1955</v>
      </c>
      <c r="F89" s="24" t="s">
        <v>51</v>
      </c>
      <c r="G89" s="4" t="s">
        <v>204</v>
      </c>
      <c r="H89" s="3"/>
      <c r="I89" s="4"/>
      <c r="J89" s="4"/>
      <c r="K89" s="4"/>
      <c r="L89" s="4"/>
      <c r="M89" s="4"/>
      <c r="N89" s="4"/>
      <c r="O89" s="4"/>
      <c r="P89" s="10"/>
      <c r="R89" s="1"/>
    </row>
    <row r="90" spans="1:18" ht="14.25" x14ac:dyDescent="0.2">
      <c r="A90" s="30" t="s">
        <v>206</v>
      </c>
      <c r="B90" s="27" t="s">
        <v>48</v>
      </c>
      <c r="C90" s="22" t="s">
        <v>205</v>
      </c>
      <c r="D90" s="24">
        <v>1843</v>
      </c>
      <c r="E90" s="24">
        <v>1956</v>
      </c>
      <c r="F90" s="24" t="s">
        <v>51</v>
      </c>
      <c r="G90" s="4" t="s">
        <v>28</v>
      </c>
      <c r="H90" s="3"/>
      <c r="I90" s="4"/>
      <c r="J90" s="4"/>
      <c r="K90" s="4"/>
      <c r="L90" s="4"/>
      <c r="M90" s="4"/>
      <c r="N90" s="4"/>
      <c r="O90" s="4"/>
      <c r="P90" s="10"/>
      <c r="R90" s="1"/>
    </row>
    <row r="91" spans="1:18" ht="14.25" x14ac:dyDescent="0.2">
      <c r="A91" s="30" t="s">
        <v>208</v>
      </c>
      <c r="B91" s="27" t="s">
        <v>48</v>
      </c>
      <c r="C91" s="22" t="s">
        <v>207</v>
      </c>
      <c r="D91" s="24">
        <v>1860</v>
      </c>
      <c r="E91" s="24">
        <v>1998</v>
      </c>
      <c r="F91" s="24" t="s">
        <v>51</v>
      </c>
      <c r="G91" s="4" t="s">
        <v>28</v>
      </c>
      <c r="H91" s="3"/>
      <c r="I91" s="4"/>
      <c r="J91" s="4"/>
      <c r="K91" s="4"/>
      <c r="L91" s="4"/>
      <c r="M91" s="4"/>
      <c r="N91" s="4"/>
      <c r="O91" s="4"/>
      <c r="P91" s="10"/>
      <c r="R91" s="1"/>
    </row>
    <row r="92" spans="1:18" ht="14.25" x14ac:dyDescent="0.2">
      <c r="A92" s="30" t="s">
        <v>211</v>
      </c>
      <c r="B92" s="27" t="s">
        <v>209</v>
      </c>
      <c r="C92" s="22" t="s">
        <v>210</v>
      </c>
      <c r="D92" s="24">
        <v>1859</v>
      </c>
      <c r="E92" s="24">
        <v>1913</v>
      </c>
      <c r="F92" s="24" t="s">
        <v>51</v>
      </c>
      <c r="G92" s="4" t="s">
        <v>28</v>
      </c>
      <c r="H92" s="3"/>
      <c r="I92" s="1"/>
      <c r="J92" s="4"/>
      <c r="K92" s="4"/>
      <c r="L92" s="4"/>
      <c r="M92" s="4"/>
      <c r="N92" s="4"/>
      <c r="O92" s="4"/>
      <c r="P92" s="13"/>
      <c r="R92" s="1"/>
    </row>
    <row r="93" spans="1:18" ht="14.25" x14ac:dyDescent="0.2">
      <c r="A93" s="3"/>
      <c r="B93" s="27"/>
      <c r="C93" s="7"/>
      <c r="D93" s="4"/>
      <c r="E93" s="4"/>
      <c r="F93" s="4"/>
      <c r="G93" s="4"/>
      <c r="H93" s="3"/>
      <c r="I93" s="1"/>
      <c r="J93" s="4"/>
      <c r="K93" s="4"/>
      <c r="L93" s="4"/>
      <c r="M93" s="4"/>
      <c r="N93" s="4"/>
      <c r="O93" s="4"/>
      <c r="P93" s="10"/>
      <c r="R93" s="1"/>
    </row>
    <row r="94" spans="1:18" ht="14.25" x14ac:dyDescent="0.2">
      <c r="A94" s="3"/>
      <c r="B94" s="27"/>
      <c r="C94" s="7"/>
      <c r="D94" s="4"/>
      <c r="E94" s="4"/>
      <c r="F94" s="4"/>
      <c r="G94" s="4"/>
      <c r="H94" s="3"/>
      <c r="I94" s="4"/>
      <c r="J94" s="4"/>
      <c r="K94" s="4"/>
      <c r="L94" s="4"/>
      <c r="M94" s="4"/>
      <c r="N94" s="4"/>
      <c r="O94" s="4"/>
      <c r="P94" s="13"/>
      <c r="R94" s="1"/>
    </row>
    <row r="95" spans="1:18" x14ac:dyDescent="0.2">
      <c r="A95" s="3"/>
      <c r="B95" s="3"/>
      <c r="C95" s="7"/>
      <c r="D95" s="4"/>
      <c r="E95" s="4"/>
      <c r="F95" s="4"/>
      <c r="G95" s="4"/>
      <c r="H95" s="7"/>
      <c r="I95" s="4"/>
      <c r="J95" s="4"/>
      <c r="K95" s="4"/>
      <c r="L95" s="4"/>
      <c r="M95" s="4"/>
      <c r="N95" s="4"/>
      <c r="O95" s="4"/>
      <c r="P95" s="16"/>
      <c r="R95" s="1"/>
    </row>
    <row r="96" spans="1:18" ht="12.75" thickBot="1" x14ac:dyDescent="0.25">
      <c r="A96" s="28"/>
      <c r="B96" s="28"/>
      <c r="C96" s="19"/>
      <c r="D96" s="17"/>
      <c r="E96" s="17"/>
      <c r="F96" s="17"/>
      <c r="G96" s="17"/>
      <c r="H96" s="19"/>
      <c r="I96" s="17"/>
      <c r="J96" s="17"/>
      <c r="K96" s="17"/>
      <c r="L96" s="17"/>
      <c r="M96" s="17"/>
      <c r="N96" s="17"/>
      <c r="O96" s="17"/>
      <c r="P96" s="20"/>
      <c r="R96" s="1"/>
    </row>
    <row r="97" spans="3:18" x14ac:dyDescent="0.2">
      <c r="C97" s="26" t="s">
        <v>8</v>
      </c>
      <c r="F97" s="2"/>
      <c r="G97" s="1"/>
      <c r="H97" s="2"/>
      <c r="I97" s="1">
        <f>SUM(Tableau2[Volume total - Photographie])</f>
        <v>1698</v>
      </c>
      <c r="J97" s="1">
        <f>SUM(Tableau2[Volume total - Plaque de verre])</f>
        <v>0</v>
      </c>
      <c r="K97" s="1">
        <f>SUM(Tableau2[Volume total - Négatif])</f>
        <v>0</v>
      </c>
      <c r="L97" s="1">
        <f>SUM(Tableau2[Volume total - Carte postale])</f>
        <v>0</v>
      </c>
      <c r="M97" s="1">
        <f>SUM(Tableau2[Volume total - Daguérrotype])</f>
        <v>0</v>
      </c>
      <c r="N97" s="1">
        <f>SUM(Tableau2[Planches contact])</f>
        <v>0</v>
      </c>
      <c r="O97" s="1" t="s">
        <v>11</v>
      </c>
      <c r="P97" s="11">
        <f>SUM(I97:K97,M97,N97)</f>
        <v>1698</v>
      </c>
      <c r="Q97"/>
      <c r="R97" s="1"/>
    </row>
    <row r="99" spans="3:18" x14ac:dyDescent="0.2">
      <c r="C99" s="7"/>
    </row>
  </sheetData>
  <phoneticPr fontId="0" type="noConversion"/>
  <printOptions gridLines="1" gridLinesSet="0"/>
  <pageMargins left="0.78740157499999996" right="0.78740157499999996" top="0.984251969" bottom="0.984251969" header="0.4921259845" footer="0.4921259845"/>
  <pageSetup paperSize="9" orientation="portrait" horizontalDpi="4294967292" verticalDpi="300" r:id="rId1"/>
  <headerFooter alignWithMargins="0">
    <oddHeader>&amp;A</oddHeader>
    <oddFooter>Page &amp;P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7885C-05B2-454D-877E-D9EB780113ED}">
  <dimension ref="A1:B3"/>
  <sheetViews>
    <sheetView workbookViewId="0">
      <selection activeCell="D8" sqref="D8"/>
    </sheetView>
  </sheetViews>
  <sheetFormatPr baseColWidth="10" defaultRowHeight="12" x14ac:dyDescent="0.2"/>
  <cols>
    <col min="1" max="1" width="17.85546875" customWidth="1"/>
    <col min="2" max="2" width="36.42578125" customWidth="1"/>
  </cols>
  <sheetData>
    <row r="1" spans="1:2" x14ac:dyDescent="0.2">
      <c r="A1" s="14" t="s">
        <v>40</v>
      </c>
      <c r="B1" s="14" t="s">
        <v>41</v>
      </c>
    </row>
    <row r="2" spans="1:2" x14ac:dyDescent="0.2">
      <c r="A2" s="14" t="s">
        <v>37</v>
      </c>
      <c r="B2" s="14" t="s">
        <v>38</v>
      </c>
    </row>
    <row r="3" spans="1:2" x14ac:dyDescent="0.2">
      <c r="A3" s="14" t="s">
        <v>37</v>
      </c>
      <c r="B3" s="14" t="s">
        <v>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inventaire de la base de donnée</vt:lpstr>
      <vt:lpstr>Ligne avec photos PDF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Margaron Romain</dc:creator>
  <cp:lastModifiedBy>Margaron Romain</cp:lastModifiedBy>
  <dcterms:created xsi:type="dcterms:W3CDTF">1996-03-19T10:39:18Z</dcterms:created>
  <dcterms:modified xsi:type="dcterms:W3CDTF">2026-07-03T15:29:08Z</dcterms:modified>
</cp:coreProperties>
</file>